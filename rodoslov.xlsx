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0" yWindow="80" windowWidth="15200" windowHeight="8700" tabRatio="897"/>
  </bookViews>
  <sheets>
    <sheet name="LISTA" sheetId="4" r:id="rId1"/>
  </sheets>
  <definedNames>
    <definedName name="_xlnm.Print_Area" localSheetId="0">LISTA!$A$2:$C$303</definedName>
    <definedName name="_xlnm.Print_Titles" localSheetId="0">LISTA!$2:$11</definedName>
  </definedNames>
  <calcPr calcId="145621"/>
</workbook>
</file>

<file path=xl/calcChain.xml><?xml version="1.0" encoding="utf-8"?>
<calcChain xmlns="http://schemas.openxmlformats.org/spreadsheetml/2006/main">
  <c r="V21" i="4" l="1"/>
  <c r="V19" i="4" l="1"/>
  <c r="X159" i="4"/>
  <c r="W159" i="4"/>
  <c r="V159" i="4"/>
  <c r="W295" i="4" l="1"/>
  <c r="V295" i="4"/>
  <c r="W292" i="4"/>
  <c r="V292" i="4"/>
  <c r="W291" i="4"/>
  <c r="V291" i="4"/>
  <c r="W288" i="4"/>
  <c r="V288" i="4"/>
  <c r="W285" i="4"/>
  <c r="V285" i="4"/>
  <c r="W282" i="4"/>
  <c r="V282" i="4"/>
  <c r="W280" i="4"/>
  <c r="V280" i="4"/>
  <c r="W277" i="4"/>
  <c r="V277" i="4"/>
  <c r="W275" i="4"/>
  <c r="V275" i="4"/>
  <c r="W272" i="4"/>
  <c r="V272" i="4"/>
  <c r="W269" i="4"/>
  <c r="V269" i="4"/>
  <c r="W268" i="4"/>
  <c r="V268" i="4"/>
  <c r="W266" i="4"/>
  <c r="V266" i="4"/>
  <c r="W263" i="4"/>
  <c r="V263" i="4"/>
  <c r="W260" i="4"/>
  <c r="V260" i="4"/>
  <c r="W259" i="4"/>
  <c r="V259" i="4"/>
  <c r="W255" i="4"/>
  <c r="V255" i="4"/>
  <c r="W251" i="4"/>
  <c r="V251" i="4"/>
  <c r="W248" i="4"/>
  <c r="V248" i="4"/>
  <c r="W246" i="4"/>
  <c r="V246" i="4"/>
  <c r="W239" i="4"/>
  <c r="V239" i="4"/>
  <c r="W234" i="4"/>
  <c r="V234" i="4"/>
  <c r="W230" i="4"/>
  <c r="V230" i="4"/>
  <c r="W225" i="4"/>
  <c r="V225" i="4"/>
  <c r="W222" i="4"/>
  <c r="V222" i="4"/>
  <c r="W221" i="4"/>
  <c r="V221" i="4"/>
  <c r="W217" i="4"/>
  <c r="V217" i="4"/>
  <c r="V215" i="4"/>
  <c r="W215" i="4"/>
  <c r="W211" i="4"/>
  <c r="V211" i="4"/>
  <c r="W209" i="4"/>
  <c r="V209" i="4"/>
  <c r="W207" i="4"/>
  <c r="V207" i="4"/>
  <c r="W205" i="4"/>
  <c r="V205" i="4"/>
  <c r="W203" i="4"/>
  <c r="V203" i="4"/>
  <c r="W197" i="4"/>
  <c r="V197" i="4"/>
  <c r="W194" i="4"/>
  <c r="V194" i="4"/>
  <c r="W192" i="4"/>
  <c r="V192" i="4"/>
  <c r="W191" i="4"/>
  <c r="V191" i="4"/>
  <c r="W189" i="4"/>
  <c r="V189" i="4"/>
  <c r="W187" i="4" l="1"/>
  <c r="V187" i="4"/>
  <c r="W183" i="4"/>
  <c r="V183" i="4"/>
  <c r="W181" i="4"/>
  <c r="V181" i="4"/>
  <c r="W177" i="4"/>
  <c r="V177" i="4"/>
  <c r="W172" i="4"/>
  <c r="V172" i="4"/>
  <c r="W171" i="4"/>
  <c r="V171" i="4"/>
  <c r="W168" i="4"/>
  <c r="V168" i="4"/>
  <c r="W165" i="4"/>
  <c r="V165" i="4"/>
  <c r="W162" i="4"/>
  <c r="V162" i="4"/>
  <c r="W156" i="4"/>
  <c r="V156" i="4"/>
  <c r="X151" i="4"/>
  <c r="W151" i="4"/>
  <c r="V151" i="4"/>
  <c r="V54" i="4"/>
  <c r="X146" i="4"/>
  <c r="W146" i="4"/>
  <c r="V146" i="4"/>
  <c r="W140" i="4"/>
  <c r="V140" i="4"/>
  <c r="W137" i="4"/>
  <c r="V137" i="4"/>
  <c r="W128" i="4"/>
  <c r="V128" i="4"/>
  <c r="W127" i="4"/>
  <c r="V127" i="4"/>
  <c r="W126" i="4"/>
  <c r="V126" i="4"/>
  <c r="W125" i="4"/>
  <c r="V125" i="4"/>
  <c r="W117" i="4"/>
  <c r="V117" i="4"/>
  <c r="W114" i="4"/>
  <c r="V114" i="4"/>
  <c r="W111" i="4"/>
  <c r="V111" i="4"/>
  <c r="W109" i="4"/>
  <c r="V109" i="4"/>
  <c r="W105" i="4"/>
  <c r="V105" i="4"/>
  <c r="W104" i="4"/>
  <c r="V104" i="4"/>
  <c r="W103" i="4"/>
  <c r="V103" i="4"/>
  <c r="W102" i="4"/>
  <c r="V102" i="4"/>
  <c r="W101" i="4"/>
  <c r="V101" i="4"/>
  <c r="W98" i="4"/>
  <c r="V98" i="4"/>
  <c r="W96" i="4" l="1"/>
  <c r="V96" i="4"/>
  <c r="W94" i="4"/>
  <c r="V94" i="4"/>
  <c r="W91" i="4"/>
  <c r="V91" i="4"/>
  <c r="W90" i="4"/>
  <c r="V90" i="4"/>
  <c r="W86" i="4"/>
  <c r="V86" i="4"/>
  <c r="W84" i="4"/>
  <c r="V84" i="4"/>
  <c r="W81" i="4"/>
  <c r="V81" i="4"/>
  <c r="W78" i="4"/>
  <c r="V78" i="4"/>
  <c r="W77" i="4"/>
  <c r="V77" i="4"/>
  <c r="W73" i="4"/>
  <c r="V73" i="4"/>
  <c r="W72" i="4"/>
  <c r="V72" i="4"/>
  <c r="W70" i="4"/>
  <c r="V70" i="4"/>
  <c r="W66" i="4"/>
  <c r="V66" i="4"/>
  <c r="W65" i="4"/>
  <c r="V65" i="4"/>
  <c r="W62" i="4" l="1"/>
  <c r="V62" i="4"/>
  <c r="W59" i="4"/>
  <c r="V59" i="4"/>
  <c r="W58" i="4"/>
  <c r="V58" i="4"/>
  <c r="W55" i="4"/>
  <c r="V55" i="4"/>
  <c r="W54" i="4"/>
  <c r="W33" i="4"/>
  <c r="V33" i="4"/>
  <c r="W32" i="4"/>
  <c r="V32" i="4"/>
  <c r="W44" i="4" l="1"/>
  <c r="V44" i="4"/>
  <c r="Y177" i="4" l="1"/>
  <c r="Y299" i="4"/>
  <c r="Y295" i="4"/>
  <c r="Y292" i="4"/>
  <c r="Y291" i="4"/>
  <c r="Y289" i="4"/>
  <c r="Y288" i="4"/>
  <c r="Y285" i="4"/>
  <c r="Y284" i="4"/>
  <c r="Y283" i="4"/>
  <c r="Y282" i="4"/>
  <c r="Y281" i="4"/>
  <c r="Y280" i="4"/>
  <c r="Y277" i="4"/>
  <c r="Y275" i="4"/>
  <c r="Y274" i="4"/>
  <c r="Y272" i="4"/>
  <c r="Y269" i="4"/>
  <c r="Y268" i="4"/>
  <c r="Y266" i="4"/>
  <c r="Y265" i="4"/>
  <c r="Y264" i="4"/>
  <c r="Y263" i="4"/>
  <c r="Y260" i="4"/>
  <c r="Y259" i="4"/>
  <c r="Y255" i="4"/>
  <c r="Y251" i="4"/>
  <c r="Y249" i="4"/>
  <c r="Y248" i="4"/>
  <c r="Y246" i="4"/>
  <c r="Y239" i="4"/>
  <c r="Y238" i="4"/>
  <c r="Y234" i="4"/>
  <c r="Y230" i="4"/>
  <c r="Y229" i="4"/>
  <c r="Y227" i="4"/>
  <c r="Y225" i="4"/>
  <c r="Y224" i="4"/>
  <c r="Y222" i="4"/>
  <c r="Y221" i="4"/>
  <c r="Y220" i="4"/>
  <c r="Y219" i="4"/>
  <c r="Y217" i="4"/>
  <c r="Y215" i="4"/>
  <c r="Y212" i="4"/>
  <c r="Y211" i="4"/>
  <c r="Y209" i="4"/>
  <c r="Y207" i="4"/>
  <c r="Y206" i="4"/>
  <c r="Y205" i="4"/>
  <c r="Y203" i="4"/>
  <c r="Y201" i="4"/>
  <c r="Y200" i="4"/>
  <c r="Y199" i="4"/>
  <c r="Y197" i="4"/>
  <c r="Y195" i="4"/>
  <c r="Y194" i="4"/>
  <c r="Y193" i="4"/>
  <c r="Y192" i="4"/>
  <c r="Y191" i="4"/>
  <c r="Y189" i="4"/>
  <c r="Y187" i="4"/>
  <c r="Y186" i="4"/>
  <c r="Y185" i="4"/>
  <c r="Y184" i="4"/>
  <c r="Y183" i="4"/>
  <c r="Y181" i="4"/>
  <c r="Y180" i="4"/>
  <c r="Y175" i="4"/>
  <c r="Y174" i="4"/>
  <c r="Y172" i="4"/>
  <c r="Y171" i="4"/>
  <c r="Y169" i="4"/>
  <c r="Y168" i="4"/>
  <c r="Y167" i="4"/>
  <c r="Y166" i="4"/>
  <c r="Y165" i="4"/>
  <c r="Y162" i="4"/>
  <c r="Y161" i="4"/>
  <c r="Y160" i="4"/>
  <c r="Y159" i="4"/>
  <c r="Y157" i="4"/>
  <c r="Y156" i="4"/>
  <c r="Y154" i="4"/>
  <c r="Y151" i="4"/>
  <c r="Y150" i="4"/>
  <c r="Y148" i="4"/>
  <c r="Y147" i="4"/>
  <c r="Y146" i="4"/>
  <c r="Y143" i="4"/>
  <c r="Y142" i="4"/>
  <c r="Y141" i="4"/>
  <c r="Y140" i="4"/>
  <c r="Y137" i="4"/>
  <c r="Y133" i="4"/>
  <c r="Y132" i="4"/>
  <c r="Y131" i="4"/>
  <c r="Y128" i="4"/>
  <c r="Y127" i="4"/>
  <c r="Y126" i="4"/>
  <c r="Y125" i="4"/>
  <c r="Y117" i="4"/>
  <c r="Y114" i="4"/>
  <c r="Y111" i="4"/>
  <c r="Y109" i="4"/>
  <c r="Y107" i="4"/>
  <c r="Y105" i="4"/>
  <c r="Y104" i="4"/>
  <c r="Y103" i="4"/>
  <c r="Y102" i="4"/>
  <c r="Y101" i="4"/>
  <c r="Y100" i="4"/>
  <c r="Y98" i="4"/>
  <c r="Y97" i="4"/>
  <c r="Y96" i="4"/>
  <c r="Y95" i="4"/>
  <c r="Y94" i="4"/>
  <c r="Y93" i="4"/>
  <c r="Y91" i="4"/>
  <c r="Y90" i="4"/>
  <c r="Y89" i="4"/>
  <c r="Y88" i="4"/>
  <c r="Y86" i="4"/>
  <c r="Y84" i="4"/>
  <c r="Y83" i="4"/>
  <c r="Y82" i="4"/>
  <c r="Y81" i="4"/>
  <c r="Y80" i="4"/>
  <c r="Y79" i="4"/>
  <c r="Y78" i="4"/>
  <c r="Y77" i="4"/>
  <c r="Y74" i="4"/>
  <c r="Y73" i="4"/>
  <c r="Y72" i="4"/>
  <c r="Y70" i="4"/>
  <c r="Y66" i="4"/>
  <c r="Y65" i="4"/>
  <c r="Y64" i="4"/>
  <c r="Y62" i="4"/>
  <c r="Y61" i="4"/>
  <c r="Y59" i="4"/>
  <c r="Y58" i="4"/>
  <c r="Y57" i="4"/>
  <c r="Y56" i="4"/>
  <c r="Y55" i="4"/>
  <c r="Y54" i="4"/>
  <c r="Y46" i="4"/>
  <c r="Y44" i="4"/>
  <c r="Y43" i="4"/>
  <c r="Y37" i="4"/>
  <c r="Y33" i="4"/>
  <c r="Y32" i="4"/>
  <c r="W46" i="4" l="1"/>
  <c r="V46" i="4"/>
  <c r="W39" i="4"/>
  <c r="V39" i="4"/>
  <c r="Y39" i="4" s="1"/>
  <c r="W35" i="4"/>
  <c r="V35" i="4"/>
  <c r="Y35" i="4" s="1"/>
  <c r="W27" i="4" l="1"/>
  <c r="V27" i="4"/>
  <c r="Y27" i="4" s="1"/>
  <c r="W22" i="4"/>
  <c r="V22" i="4"/>
  <c r="W21" i="4"/>
  <c r="X20" i="4"/>
  <c r="W20" i="4"/>
  <c r="V20" i="4"/>
  <c r="X19" i="4"/>
  <c r="W19" i="4"/>
  <c r="S14" i="4"/>
  <c r="S13" i="4"/>
  <c r="S12" i="4"/>
  <c r="S15" i="4" s="1"/>
  <c r="Q14" i="4"/>
  <c r="Q13" i="4"/>
  <c r="Q12" i="4"/>
  <c r="O14" i="4"/>
  <c r="O13" i="4"/>
  <c r="O12" i="4"/>
  <c r="M14" i="4"/>
  <c r="M13" i="4"/>
  <c r="M12" i="4"/>
  <c r="M15" i="4" s="1"/>
  <c r="K14" i="4"/>
  <c r="K13" i="4"/>
  <c r="K12" i="4"/>
  <c r="K15" i="4" s="1"/>
  <c r="I14" i="4"/>
  <c r="I13" i="4"/>
  <c r="I12" i="4"/>
  <c r="G14" i="4"/>
  <c r="G13" i="4"/>
  <c r="G12" i="4"/>
  <c r="E14" i="4"/>
  <c r="E13" i="4"/>
  <c r="E12" i="4"/>
  <c r="E15" i="4" s="1"/>
  <c r="C14" i="4"/>
  <c r="C13" i="4"/>
  <c r="C12" i="4"/>
  <c r="Y19" i="4" l="1"/>
  <c r="Y20" i="4"/>
  <c r="Y22" i="4"/>
  <c r="Y21" i="4"/>
  <c r="T12" i="4"/>
  <c r="T13" i="4"/>
  <c r="T14" i="4"/>
  <c r="Q15" i="4"/>
  <c r="G15" i="4"/>
  <c r="O15" i="4"/>
  <c r="I15" i="4"/>
  <c r="C15" i="4" l="1"/>
  <c r="T15" i="4" s="1"/>
</calcChain>
</file>

<file path=xl/sharedStrings.xml><?xml version="1.0" encoding="utf-8"?>
<sst xmlns="http://schemas.openxmlformats.org/spreadsheetml/2006/main" count="1009" uniqueCount="529">
  <si>
    <t>JOVAN</t>
  </si>
  <si>
    <t>MILUTIN</t>
  </si>
  <si>
    <t>ANGELINA</t>
  </si>
  <si>
    <t>JELA</t>
  </si>
  <si>
    <t>KOVILJKA</t>
  </si>
  <si>
    <t>ANA</t>
  </si>
  <si>
    <t>KOSA</t>
  </si>
  <si>
    <t>JOKA</t>
  </si>
  <si>
    <t>BRANE</t>
  </si>
  <si>
    <t>SLOBODAN</t>
  </si>
  <si>
    <t>VLAJKO</t>
  </si>
  <si>
    <t>MILICA</t>
  </si>
  <si>
    <t>KRSTO</t>
  </si>
  <si>
    <t>RISTO</t>
  </si>
  <si>
    <t>OBRENIJA</t>
  </si>
  <si>
    <t>BOJKA</t>
  </si>
  <si>
    <t>STANA</t>
  </si>
  <si>
    <t>RADOVAN</t>
  </si>
  <si>
    <t>TADIJA</t>
  </si>
  <si>
    <t>MILKA</t>
  </si>
  <si>
    <t>MARA</t>
  </si>
  <si>
    <t>ANDJA</t>
  </si>
  <si>
    <t>RADE</t>
  </si>
  <si>
    <t>RATKO</t>
  </si>
  <si>
    <t>MILANKO</t>
  </si>
  <si>
    <t>JOVICA</t>
  </si>
  <si>
    <t>VASILIJA</t>
  </si>
  <si>
    <t>ANICA</t>
  </si>
  <si>
    <t>KOSTA</t>
  </si>
  <si>
    <t>MILOVAN</t>
  </si>
  <si>
    <t>SPASOJE</t>
  </si>
  <si>
    <t>TANKOSA</t>
  </si>
  <si>
    <t>PERO</t>
  </si>
  <si>
    <t>RADA</t>
  </si>
  <si>
    <t>JOVANKA</t>
  </si>
  <si>
    <t>ILINKA</t>
  </si>
  <si>
    <t>RATOMIR</t>
  </si>
  <si>
    <t>PETKO</t>
  </si>
  <si>
    <t>STOJAN</t>
  </si>
  <si>
    <t>BOGDA</t>
  </si>
  <si>
    <t>BOGDANKA</t>
  </si>
  <si>
    <t>MILJA</t>
  </si>
  <si>
    <t>JAVORKA</t>
  </si>
  <si>
    <t>BORKA</t>
  </si>
  <si>
    <t>DANA</t>
  </si>
  <si>
    <t>MILIJANA</t>
  </si>
  <si>
    <t>SLAVICA</t>
  </si>
  <si>
    <t>IVANA</t>
  </si>
  <si>
    <t>VESNA</t>
  </si>
  <si>
    <t>M</t>
  </si>
  <si>
    <t>Z</t>
  </si>
  <si>
    <t>ZORAN</t>
  </si>
  <si>
    <t>MIROSLAV</t>
  </si>
  <si>
    <t>DRAGAN</t>
  </si>
  <si>
    <t>X</t>
  </si>
  <si>
    <t>SELENA</t>
  </si>
  <si>
    <t>JULIJANA</t>
  </si>
  <si>
    <t>ARSEN</t>
  </si>
  <si>
    <t>IRMA</t>
  </si>
  <si>
    <t>KARLO</t>
  </si>
  <si>
    <t>VELIBOR</t>
  </si>
  <si>
    <t>TOMISLAV</t>
  </si>
  <si>
    <t>VLADIMIR</t>
  </si>
  <si>
    <t>MILANKA</t>
  </si>
  <si>
    <t>MIRA</t>
  </si>
  <si>
    <t>MARIJA</t>
  </si>
  <si>
    <t>MILANA</t>
  </si>
  <si>
    <t>DRAGANA</t>
  </si>
  <si>
    <t>LUKA</t>
  </si>
  <si>
    <t>BILJA</t>
  </si>
  <si>
    <t>BOGDAN</t>
  </si>
  <si>
    <t>STANICA</t>
  </si>
  <si>
    <t>CVETA</t>
  </si>
  <si>
    <t>SLAVKA</t>
  </si>
  <si>
    <t>DRAGINJA</t>
  </si>
  <si>
    <t>ILIJA</t>
  </si>
  <si>
    <t>DOBRILA</t>
  </si>
  <si>
    <t>SLOBODANKA (BARTULA)</t>
  </si>
  <si>
    <t>Апостоле свјатиј и евангелисте Луко,</t>
  </si>
  <si>
    <t>моли милостиваго Бога</t>
  </si>
  <si>
    <t>ТРОПАР ПРАЗНИКА СВ. ЛУКИ</t>
  </si>
  <si>
    <t>KATARINA</t>
  </si>
  <si>
    <t>MARIJANA</t>
  </si>
  <si>
    <t>JANJA</t>
  </si>
  <si>
    <t>PERICA 1979</t>
  </si>
  <si>
    <t>MIROSLAV 1982</t>
  </si>
  <si>
    <t>JOVICA 1998</t>
  </si>
  <si>
    <t>STOJADIN</t>
  </si>
  <si>
    <t>MUSKIH</t>
  </si>
  <si>
    <t>ZENSKIH</t>
  </si>
  <si>
    <t>VUJADIN 1928 - 1928</t>
  </si>
  <si>
    <t>KRSTO 1929 - 1932</t>
  </si>
  <si>
    <r>
      <t xml:space="preserve">RADE
</t>
    </r>
    <r>
      <rPr>
        <b/>
        <sz val="9"/>
        <color indexed="10"/>
        <rFont val="Tahoma"/>
        <family val="2"/>
      </rPr>
      <t>JOKA</t>
    </r>
  </si>
  <si>
    <t>MITAR 1939 - 2007</t>
  </si>
  <si>
    <t>PETKO 1921 - 1942</t>
  </si>
  <si>
    <t>RANKA (KLISARA)</t>
  </si>
  <si>
    <t>KRISTA (ARBINJA)</t>
  </si>
  <si>
    <t xml:space="preserve">SLOBODAN 1950 - </t>
  </si>
  <si>
    <t>JOVICA 1944 - 1945</t>
  </si>
  <si>
    <t xml:space="preserve">NIKOLA 1981 - </t>
  </si>
  <si>
    <t xml:space="preserve">SLOBODAN 1982 - </t>
  </si>
  <si>
    <t xml:space="preserve">MIRA (ERIC)    </t>
  </si>
  <si>
    <r>
      <t xml:space="preserve">BRANE
</t>
    </r>
    <r>
      <rPr>
        <b/>
        <sz val="9"/>
        <color indexed="10"/>
        <rFont val="Tahoma"/>
        <family val="2"/>
      </rPr>
      <t>KRISTA (KANOSTRAVAC)</t>
    </r>
  </si>
  <si>
    <t xml:space="preserve">PETAR 2007 - </t>
  </si>
  <si>
    <t xml:space="preserve">MARKO 1975 - </t>
  </si>
  <si>
    <t xml:space="preserve">STEFAN 1981 - </t>
  </si>
  <si>
    <r>
      <t xml:space="preserve">MILOMIR
</t>
    </r>
    <r>
      <rPr>
        <b/>
        <sz val="9"/>
        <color indexed="10"/>
        <rFont val="Tahoma"/>
        <family val="2"/>
      </rPr>
      <t>GORDANA</t>
    </r>
  </si>
  <si>
    <r>
      <t xml:space="preserve">BORISLAV 1978 - 
</t>
    </r>
    <r>
      <rPr>
        <b/>
        <sz val="9"/>
        <color indexed="10"/>
        <rFont val="Tahoma"/>
        <family val="2"/>
        <charset val="238"/>
      </rPr>
      <t>MARINA (ŠIMŠIĆ)</t>
    </r>
  </si>
  <si>
    <t xml:space="preserve">VUKAŠIN 2010 - </t>
  </si>
  <si>
    <t xml:space="preserve">ANDRIJA 1994 -  </t>
  </si>
  <si>
    <t>ALEKSA 1996 -</t>
  </si>
  <si>
    <t xml:space="preserve">LUKA 2009 - </t>
  </si>
  <si>
    <t xml:space="preserve">GORAN 1986 - </t>
  </si>
  <si>
    <t xml:space="preserve">MLADEN 1995 - </t>
  </si>
  <si>
    <t xml:space="preserve">PAVLE 1982 - </t>
  </si>
  <si>
    <t>JOVAN 2014 -</t>
  </si>
  <si>
    <t xml:space="preserve">KRIS 1999 - </t>
  </si>
  <si>
    <t xml:space="preserve">LUKA 2002 - </t>
  </si>
  <si>
    <t xml:space="preserve">GORAN 1984 - </t>
  </si>
  <si>
    <t xml:space="preserve">  </t>
  </si>
  <si>
    <t xml:space="preserve">MILAN 1993 - </t>
  </si>
  <si>
    <t xml:space="preserve">VLADAN 1984 - </t>
  </si>
  <si>
    <t xml:space="preserve">ACO 1995 - </t>
  </si>
  <si>
    <t xml:space="preserve">MARKO 1997 - </t>
  </si>
  <si>
    <r>
      <t xml:space="preserve">MILAN 1977 -
</t>
    </r>
    <r>
      <rPr>
        <b/>
        <sz val="9"/>
        <color indexed="10"/>
        <rFont val="Tahoma"/>
        <family val="2"/>
        <charset val="238"/>
      </rPr>
      <t>DRAGANA (MAČAR)</t>
    </r>
  </si>
  <si>
    <t>LUKA 2006 -</t>
  </si>
  <si>
    <t>?</t>
  </si>
  <si>
    <r>
      <t xml:space="preserve">STEVAN   
</t>
    </r>
    <r>
      <rPr>
        <b/>
        <sz val="9"/>
        <color rgb="FFFF0000"/>
        <rFont val="Tahoma"/>
        <family val="2"/>
      </rPr>
      <t>MITRA (LUBARDA)</t>
    </r>
  </si>
  <si>
    <r>
      <t xml:space="preserve">JOVAN
</t>
    </r>
    <r>
      <rPr>
        <b/>
        <sz val="9"/>
        <color rgb="FFFF0000"/>
        <rFont val="Tahoma"/>
        <family val="2"/>
      </rPr>
      <t>DARINKA</t>
    </r>
  </si>
  <si>
    <r>
      <t xml:space="preserve">GAVRILO 1780 - </t>
    </r>
    <r>
      <rPr>
        <b/>
        <sz val="12"/>
        <color indexed="12"/>
        <rFont val="Tahoma"/>
        <family val="2"/>
      </rPr>
      <t>†</t>
    </r>
  </si>
  <si>
    <r>
      <t xml:space="preserve">JOVICA 1810 - </t>
    </r>
    <r>
      <rPr>
        <b/>
        <sz val="12"/>
        <color indexed="12"/>
        <rFont val="Tahoma"/>
        <family val="2"/>
      </rPr>
      <t>†</t>
    </r>
  </si>
  <si>
    <r>
      <t xml:space="preserve">BOGDAN 1815 - </t>
    </r>
    <r>
      <rPr>
        <b/>
        <sz val="12"/>
        <color indexed="12"/>
        <rFont val="Tahoma"/>
        <family val="2"/>
      </rPr>
      <t>†</t>
    </r>
  </si>
  <si>
    <r>
      <t xml:space="preserve">RISTO
</t>
    </r>
    <r>
      <rPr>
        <b/>
        <sz val="9"/>
        <color rgb="FFFF0000"/>
        <rFont val="Tahoma"/>
        <family val="2"/>
      </rPr>
      <t>STANIJA</t>
    </r>
  </si>
  <si>
    <t>DESIMIR 1927 -</t>
  </si>
  <si>
    <r>
      <t xml:space="preserve">MIRKO
</t>
    </r>
    <r>
      <rPr>
        <b/>
        <sz val="9"/>
        <color rgb="FFFF0000"/>
        <rFont val="Tahoma"/>
        <family val="2"/>
      </rPr>
      <t>(JOVANKA)</t>
    </r>
  </si>
  <si>
    <r>
      <t xml:space="preserve">TODOR 1935 -       
</t>
    </r>
    <r>
      <rPr>
        <b/>
        <sz val="9"/>
        <color rgb="FFFF0000"/>
        <rFont val="Tahoma"/>
        <family val="2"/>
      </rPr>
      <t>MARIJA (TARANDEK)</t>
    </r>
  </si>
  <si>
    <r>
      <t xml:space="preserve">GOJKO
</t>
    </r>
    <r>
      <rPr>
        <b/>
        <sz val="9"/>
        <color rgb="FFFF0000"/>
        <rFont val="Tahoma"/>
        <family val="2"/>
      </rPr>
      <t>DRAGICA</t>
    </r>
  </si>
  <si>
    <t xml:space="preserve"> </t>
  </si>
  <si>
    <r>
      <t xml:space="preserve">MIROSLAV
</t>
    </r>
    <r>
      <rPr>
        <b/>
        <sz val="9"/>
        <color rgb="FFFF0000"/>
        <rFont val="Tahoma"/>
        <family val="2"/>
      </rPr>
      <t>DRAGANA</t>
    </r>
  </si>
  <si>
    <t>UKUPNO</t>
  </si>
  <si>
    <t>MARKO</t>
  </si>
  <si>
    <t>GORAN</t>
  </si>
  <si>
    <t>DESIMIR</t>
  </si>
  <si>
    <t>RAJKO</t>
  </si>
  <si>
    <t>STANKO</t>
  </si>
  <si>
    <t>SVETOZAR</t>
  </si>
  <si>
    <t>BORISLAV</t>
  </si>
  <si>
    <t>PAVLE</t>
  </si>
  <si>
    <t>BLAGOJE</t>
  </si>
  <si>
    <t>TIHOMIR</t>
  </si>
  <si>
    <t>MITAR</t>
  </si>
  <si>
    <t>DEJAN</t>
  </si>
  <si>
    <t>ANDRIJA</t>
  </si>
  <si>
    <t>ALEKSA</t>
  </si>
  <si>
    <t>PERICA</t>
  </si>
  <si>
    <t>STEVAN</t>
  </si>
  <si>
    <t>DANILO</t>
  </si>
  <si>
    <t>GOJKO</t>
  </si>
  <si>
    <t>RADOMIR</t>
  </si>
  <si>
    <t>MLADEN</t>
  </si>
  <si>
    <t>MILOMIR</t>
  </si>
  <si>
    <t>MILAN</t>
  </si>
  <si>
    <t>NIKOLA</t>
  </si>
  <si>
    <t>VUKOLA</t>
  </si>
  <si>
    <t>VUJADIN</t>
  </si>
  <si>
    <t>VIDAK</t>
  </si>
  <si>
    <t>TODOR</t>
  </si>
  <si>
    <t>STEFAN</t>
  </si>
  <si>
    <t>LAZAR</t>
  </si>
  <si>
    <t>PETAR</t>
  </si>
  <si>
    <t>MILORAD</t>
  </si>
  <si>
    <t>NIKODIN</t>
  </si>
  <si>
    <t>MIRKO</t>
  </si>
  <si>
    <t>GAVRILO</t>
  </si>
  <si>
    <t>RADOSAV</t>
  </si>
  <si>
    <t>MILOSAV</t>
  </si>
  <si>
    <t>KRIS</t>
  </si>
  <si>
    <t>OBRAD</t>
  </si>
  <si>
    <t>MIHAJLO</t>
  </si>
  <si>
    <t>MOMIR</t>
  </si>
  <si>
    <t>VLADAN</t>
  </si>
  <si>
    <t>ACO</t>
  </si>
  <si>
    <t>BOJKAN</t>
  </si>
  <si>
    <t>NENAD</t>
  </si>
  <si>
    <t>NEPOZNAT POL</t>
  </si>
  <si>
    <t>NEPOZNAT
POL</t>
  </si>
  <si>
    <r>
      <t xml:space="preserve">MILORAD 1928 - 
</t>
    </r>
    <r>
      <rPr>
        <b/>
        <sz val="9"/>
        <color rgb="FFFF0000"/>
        <rFont val="Tahoma"/>
        <family val="2"/>
      </rPr>
      <t>SOFIJA (KOPRIVICA)
1928 - 2007</t>
    </r>
  </si>
  <si>
    <r>
      <t xml:space="preserve">SLOBODAN 1920 - 2006
</t>
    </r>
    <r>
      <rPr>
        <b/>
        <sz val="9"/>
        <color indexed="10"/>
        <rFont val="Tahoma"/>
        <family val="2"/>
        <charset val="238"/>
      </rPr>
      <t>RADMILA (RISTIĆ) 
1925 - 1999</t>
    </r>
  </si>
  <si>
    <t xml:space="preserve">DRAGICA (KRAMAR) 
1932 -   </t>
  </si>
  <si>
    <t xml:space="preserve">GORDANA 
1950 - </t>
  </si>
  <si>
    <t xml:space="preserve">MILIJANA 
1960 - </t>
  </si>
  <si>
    <t>MIRJANA 
1959</t>
  </si>
  <si>
    <t xml:space="preserve">DINA 
1976 - </t>
  </si>
  <si>
    <r>
      <t xml:space="preserve">DRAGAN 1954 -
</t>
    </r>
    <r>
      <rPr>
        <b/>
        <sz val="9"/>
        <color indexed="10"/>
        <rFont val="Tahoma"/>
        <family val="2"/>
      </rPr>
      <t xml:space="preserve">ALMA 
1965 - </t>
    </r>
  </si>
  <si>
    <t>IVANA (SVALINA) 
1977 -</t>
  </si>
  <si>
    <t xml:space="preserve">DALIBORKA 
1973 - </t>
  </si>
  <si>
    <t xml:space="preserve">DANIJELA 
1980 - </t>
  </si>
  <si>
    <t xml:space="preserve">MIRA 
1960 - </t>
  </si>
  <si>
    <t xml:space="preserve">MILICA 
1975 - </t>
  </si>
  <si>
    <r>
      <t xml:space="preserve">DRAGAN 1972 -
</t>
    </r>
    <r>
      <rPr>
        <b/>
        <sz val="9"/>
        <color indexed="10"/>
        <rFont val="Tahoma"/>
        <family val="2"/>
      </rPr>
      <t xml:space="preserve">MARINA (BOROVCANIN) 
1980 - </t>
    </r>
  </si>
  <si>
    <t xml:space="preserve">IVANA 
1976 - </t>
  </si>
  <si>
    <t xml:space="preserve">MIRJANA 
1987 - </t>
  </si>
  <si>
    <t xml:space="preserve">JELENA (JOVIĆ) 
1978 - </t>
  </si>
  <si>
    <t xml:space="preserve">MILICA 
1986 - </t>
  </si>
  <si>
    <t xml:space="preserve">DAJANA 
1988 - </t>
  </si>
  <si>
    <t xml:space="preserve">TIJANA 
2000 - </t>
  </si>
  <si>
    <t>MAJA 
2006</t>
  </si>
  <si>
    <t xml:space="preserve">LIDIJA 
1981 - </t>
  </si>
  <si>
    <t xml:space="preserve">LOLA 
1999 - </t>
  </si>
  <si>
    <t xml:space="preserve">IVANA 
1982 - </t>
  </si>
  <si>
    <t xml:space="preserve">MILICA 
1989 - </t>
  </si>
  <si>
    <t xml:space="preserve">JOVANA 
1994 - </t>
  </si>
  <si>
    <t>LANA 
2010-</t>
  </si>
  <si>
    <t xml:space="preserve">JANA 
2011 - </t>
  </si>
  <si>
    <t>UNA 
2011-</t>
  </si>
  <si>
    <t>VERA 
2018 -</t>
  </si>
  <si>
    <t xml:space="preserve">ZORANA-BEBA (BELTON)
1955 - </t>
  </si>
  <si>
    <t>UKUPAN BROJ POTOMAKA PO GENERACIJAMA I POLOVIMA</t>
  </si>
  <si>
    <t xml:space="preserve">1. GENERACIJA </t>
  </si>
  <si>
    <t>2. GENERACIJA</t>
  </si>
  <si>
    <t>3. GENERACIJA</t>
  </si>
  <si>
    <t>4. GENERACIJA</t>
  </si>
  <si>
    <t>5. GENERACIJA</t>
  </si>
  <si>
    <t>6. GENERACIJA</t>
  </si>
  <si>
    <t>7. GENERACIJA</t>
  </si>
  <si>
    <t>8. GENERACIJA</t>
  </si>
  <si>
    <t>9. GENERACIJA</t>
  </si>
  <si>
    <t>VIDE-GORAN</t>
  </si>
  <si>
    <t>SLOBODAN-BOBAN</t>
  </si>
  <si>
    <t>MILAN-KRSTO</t>
  </si>
  <si>
    <t>LJUBO-BATO</t>
  </si>
  <si>
    <t>MILORAD-BATO</t>
  </si>
  <si>
    <t>BRANISLAV-MIKI</t>
  </si>
  <si>
    <t>MIODRAG-BATO</t>
  </si>
  <si>
    <t>MIROSLAV-MIKI</t>
  </si>
  <si>
    <t xml:space="preserve">SVETLANA (ŠUKA) 
1955 - </t>
  </si>
  <si>
    <t xml:space="preserve">VESNA (MALOVIĆ) 
1979 - </t>
  </si>
  <si>
    <t xml:space="preserve">SUZANA (ORAŠANIN) 
1981 - </t>
  </si>
  <si>
    <t xml:space="preserve">SNEŽANA (VIŠNJIĆ) 
1980 - </t>
  </si>
  <si>
    <r>
      <t xml:space="preserve">MILAN-KRSTO 1957 - 
</t>
    </r>
    <r>
      <rPr>
        <b/>
        <sz val="9"/>
        <color indexed="10"/>
        <rFont val="Tahoma"/>
        <family val="2"/>
      </rPr>
      <t xml:space="preserve">MILENKA (ŠUKA) 
1958 -  </t>
    </r>
  </si>
  <si>
    <t xml:space="preserve">VEDRANA (PETRIĆ) 
1982 - </t>
  </si>
  <si>
    <t>DRAGA (JELIĆ)</t>
  </si>
  <si>
    <t>DUSANKA (BILJIĆ)</t>
  </si>
  <si>
    <t xml:space="preserve">KOSA (MADŽGALJ) 
1931 - </t>
  </si>
  <si>
    <t>JOKA (STANIĆ)</t>
  </si>
  <si>
    <r>
      <t xml:space="preserve">DRAGAN 1946 -
</t>
    </r>
    <r>
      <rPr>
        <b/>
        <sz val="9"/>
        <color indexed="10"/>
        <rFont val="Tahoma"/>
        <family val="2"/>
      </rPr>
      <t xml:space="preserve">OLIVERA (POPOVIĆ) 
1954 - </t>
    </r>
  </si>
  <si>
    <r>
      <t xml:space="preserve">MLADEN 1951 -
</t>
    </r>
    <r>
      <rPr>
        <b/>
        <sz val="9"/>
        <color indexed="10"/>
        <rFont val="Tahoma"/>
        <family val="2"/>
      </rPr>
      <t xml:space="preserve">VESNA (MRKIĆ) 
1956 - </t>
    </r>
  </si>
  <si>
    <t>MIŠO 1987 -</t>
  </si>
  <si>
    <t>MIŠO</t>
  </si>
  <si>
    <t>SRĐAN</t>
  </si>
  <si>
    <t>MILICA (SAVČIĆ)</t>
  </si>
  <si>
    <t>DUŠKO</t>
  </si>
  <si>
    <t>NJEGOŠ</t>
  </si>
  <si>
    <r>
      <t xml:space="preserve">LAZAR
</t>
    </r>
    <r>
      <rPr>
        <b/>
        <sz val="9"/>
        <color indexed="10"/>
        <rFont val="Tahoma"/>
        <family val="2"/>
      </rPr>
      <t>MILJA (ĐUKIĆ)</t>
    </r>
  </si>
  <si>
    <r>
      <t xml:space="preserve">DUŠKO 
</t>
    </r>
    <r>
      <rPr>
        <b/>
        <sz val="9"/>
        <color indexed="10"/>
        <rFont val="Tahoma"/>
        <family val="2"/>
      </rPr>
      <t xml:space="preserve">RADMILA (CVIJETIĆ)         </t>
    </r>
    <r>
      <rPr>
        <b/>
        <sz val="9"/>
        <color indexed="12"/>
        <rFont val="Tahoma"/>
        <family val="2"/>
      </rPr>
      <t xml:space="preserve">         </t>
    </r>
  </si>
  <si>
    <t>ŽANA</t>
  </si>
  <si>
    <r>
      <t xml:space="preserve">DEJAN 1975 -
</t>
    </r>
    <r>
      <rPr>
        <b/>
        <sz val="9"/>
        <color indexed="10"/>
        <rFont val="Tahoma"/>
        <family val="2"/>
      </rPr>
      <t>JOVANA (KAPOVIĆ)</t>
    </r>
  </si>
  <si>
    <t xml:space="preserve">SRĐAN 1978 -      </t>
  </si>
  <si>
    <r>
      <t xml:space="preserve">VIDAK 1932 -       
</t>
    </r>
    <r>
      <rPr>
        <b/>
        <sz val="9"/>
        <color indexed="10"/>
        <rFont val="Tahoma"/>
        <family val="2"/>
      </rPr>
      <t>LJUBICA (KARAPANDŽA)</t>
    </r>
  </si>
  <si>
    <t>NEBOJŠA</t>
  </si>
  <si>
    <r>
      <t xml:space="preserve">RAJKO 1939 -           
</t>
    </r>
    <r>
      <rPr>
        <b/>
        <sz val="9"/>
        <color indexed="10"/>
        <rFont val="Tahoma"/>
        <family val="2"/>
      </rPr>
      <t>STANKA (NIKOLIĆ)</t>
    </r>
  </si>
  <si>
    <t>BOŽIDAR</t>
  </si>
  <si>
    <t>MILOŠ</t>
  </si>
  <si>
    <r>
      <t xml:space="preserve">ALEKSA 1927 - 1992   
</t>
    </r>
    <r>
      <rPr>
        <b/>
        <sz val="9"/>
        <color rgb="FFFF0000"/>
        <rFont val="Tahoma"/>
        <family val="2"/>
      </rPr>
      <t>JOVANKA (OBRADOVIĆ) 
1928 -</t>
    </r>
    <r>
      <rPr>
        <b/>
        <sz val="9"/>
        <color indexed="12"/>
        <rFont val="Tahoma"/>
        <family val="2"/>
      </rPr>
      <t xml:space="preserve"> </t>
    </r>
  </si>
  <si>
    <r>
      <t xml:space="preserve">RADOMIR 1950 -
</t>
    </r>
    <r>
      <rPr>
        <b/>
        <sz val="9"/>
        <color indexed="10"/>
        <rFont val="Tahoma"/>
        <family val="2"/>
      </rPr>
      <t xml:space="preserve">MIRA (BOJANIĆ) 
1952 -            </t>
    </r>
  </si>
  <si>
    <t xml:space="preserve">RADMILA (MARKOVIĆ) 
1951 -       </t>
  </si>
  <si>
    <r>
      <t xml:space="preserve">DANILO
</t>
    </r>
    <r>
      <rPr>
        <b/>
        <sz val="9"/>
        <color rgb="FFFF0000"/>
        <rFont val="Tahoma"/>
        <family val="2"/>
      </rPr>
      <t>ĐUKA</t>
    </r>
  </si>
  <si>
    <t>DRAGICA (MILIVOJEVIĆ)</t>
  </si>
  <si>
    <r>
      <t xml:space="preserve">DUŠAN
</t>
    </r>
    <r>
      <rPr>
        <b/>
        <sz val="9"/>
        <color indexed="10"/>
        <rFont val="Tahoma"/>
        <family val="2"/>
      </rPr>
      <t>BELA</t>
    </r>
  </si>
  <si>
    <t>DUŠAN</t>
  </si>
  <si>
    <t>AĆIM 1850 - 1930</t>
  </si>
  <si>
    <t>AĆIM</t>
  </si>
  <si>
    <r>
      <t xml:space="preserve">NEĐO
</t>
    </r>
    <r>
      <rPr>
        <b/>
        <sz val="9"/>
        <color indexed="10"/>
        <rFont val="Tahoma"/>
        <family val="2"/>
      </rPr>
      <t>MILKA</t>
    </r>
  </si>
  <si>
    <t>NEĐO</t>
  </si>
  <si>
    <t>UROŠ</t>
  </si>
  <si>
    <t>ŽARKO</t>
  </si>
  <si>
    <t xml:space="preserve">RAJKA (NERIĆ) 1926 - </t>
  </si>
  <si>
    <t>BOGDANKA (MAKARIĆ)
 1930 - 2006</t>
  </si>
  <si>
    <t xml:space="preserve">ČEDOMIR 1931 - </t>
  </si>
  <si>
    <t>ČEDDOMIR</t>
  </si>
  <si>
    <r>
      <t xml:space="preserve">TIHOMIR 1934 - 2005
</t>
    </r>
    <r>
      <rPr>
        <b/>
        <sz val="9"/>
        <color rgb="FFFF0000"/>
        <rFont val="Tahoma"/>
        <family val="2"/>
      </rPr>
      <t>JELENA (ĐURIC) 
1940 -</t>
    </r>
  </si>
  <si>
    <t xml:space="preserve">MIRJANA (ZEČEVIĆ) 
1963 - </t>
  </si>
  <si>
    <r>
      <t xml:space="preserve">DEJAN 1966 -
</t>
    </r>
    <r>
      <rPr>
        <b/>
        <sz val="9"/>
        <color indexed="10"/>
        <rFont val="Tahoma"/>
        <family val="2"/>
      </rPr>
      <t xml:space="preserve">SNEŽANA (ŽIVIĆ) 
1970 -  </t>
    </r>
  </si>
  <si>
    <t>SPASENIJA (MRDOVIĆ)
1914 - 1996</t>
  </si>
  <si>
    <r>
      <t xml:space="preserve">SVETOZAR 1919 - 1999
</t>
    </r>
    <r>
      <rPr>
        <b/>
        <sz val="9"/>
        <color rgb="FFFF0000"/>
        <rFont val="Tahoma"/>
        <family val="2"/>
      </rPr>
      <t>RAJKA (GAJEVIĆ)
1926 -</t>
    </r>
  </si>
  <si>
    <t xml:space="preserve">LJUBINKA (TOMIĆ) 
1948 - </t>
  </si>
  <si>
    <t>VUKAŠIN</t>
  </si>
  <si>
    <r>
      <t xml:space="preserve">SRĐAN 1981 -
</t>
    </r>
    <r>
      <rPr>
        <b/>
        <sz val="9"/>
        <color indexed="10"/>
        <rFont val="Tahoma"/>
        <family val="2"/>
      </rPr>
      <t>RADA (AMOVIĆ)</t>
    </r>
    <r>
      <rPr>
        <b/>
        <sz val="9"/>
        <color indexed="12"/>
        <rFont val="Tahoma"/>
        <family val="2"/>
      </rPr>
      <t xml:space="preserve"> </t>
    </r>
  </si>
  <si>
    <t>SLAĐANA (KOPRIVICA) 
1985 -</t>
  </si>
  <si>
    <t xml:space="preserve">MILJA (TOŠIĆ) 
1923 - </t>
  </si>
  <si>
    <r>
      <t xml:space="preserve">RAJKO 1925 - 2001
</t>
    </r>
    <r>
      <rPr>
        <b/>
        <sz val="9"/>
        <color indexed="10"/>
        <rFont val="Tahoma"/>
        <family val="2"/>
      </rPr>
      <t>SLAVKA (ORAŠANIN) 
1928 - 1973</t>
    </r>
  </si>
  <si>
    <r>
      <t xml:space="preserve">ZORAN 1953 -
</t>
    </r>
    <r>
      <rPr>
        <b/>
        <sz val="9"/>
        <color rgb="FFFF0000"/>
        <rFont val="Tahoma"/>
        <family val="2"/>
      </rPr>
      <t>LJILJANA (IGNJATIĆ) 
1957 -</t>
    </r>
    <r>
      <rPr>
        <b/>
        <sz val="9"/>
        <color indexed="12"/>
        <rFont val="Tahoma"/>
        <family val="2"/>
      </rPr>
      <t xml:space="preserve">  </t>
    </r>
  </si>
  <si>
    <r>
      <t xml:space="preserve">DUŠKO 1958 - 
</t>
    </r>
    <r>
      <rPr>
        <b/>
        <sz val="9"/>
        <color rgb="FFFF0000"/>
        <rFont val="Tahoma"/>
        <family val="2"/>
      </rPr>
      <t xml:space="preserve">MILICA (VUJNOVIĆ) 
1976 -  </t>
    </r>
    <r>
      <rPr>
        <b/>
        <sz val="9"/>
        <color indexed="12"/>
        <rFont val="Tahoma"/>
        <family val="2"/>
      </rPr>
      <t xml:space="preserve">                 </t>
    </r>
    <r>
      <rPr>
        <b/>
        <sz val="9"/>
        <color indexed="10"/>
        <rFont val="Tahoma"/>
        <family val="2"/>
      </rPr>
      <t xml:space="preserve">  </t>
    </r>
    <r>
      <rPr>
        <b/>
        <sz val="9"/>
        <color indexed="12"/>
        <rFont val="Tahoma"/>
        <family val="2"/>
      </rPr>
      <t xml:space="preserve"> </t>
    </r>
  </si>
  <si>
    <t xml:space="preserve">LJUBINKA 
(ARANĐELOVIĆ)
1939 - </t>
  </si>
  <si>
    <r>
      <t xml:space="preserve">GORAN 1962 -
</t>
    </r>
    <r>
      <rPr>
        <b/>
        <sz val="9"/>
        <color indexed="10"/>
        <rFont val="Tahoma"/>
        <family val="2"/>
      </rPr>
      <t xml:space="preserve">JASNA (DODIĆ) 
1966 - </t>
    </r>
  </si>
  <si>
    <t>RADOJKA (RULJIĆ)
1934 - 2010</t>
  </si>
  <si>
    <t>SAVA (BAŠEVIĆ)</t>
  </si>
  <si>
    <t>BOŽANA</t>
  </si>
  <si>
    <r>
      <t xml:space="preserve">RADOSAV
</t>
    </r>
    <r>
      <rPr>
        <b/>
        <sz val="9"/>
        <color rgb="FFFF0000"/>
        <rFont val="Tahoma"/>
        <family val="2"/>
      </rPr>
      <t>JELKA (BOJEVIĆ) 
1880 -</t>
    </r>
    <r>
      <rPr>
        <b/>
        <sz val="9"/>
        <color indexed="12"/>
        <rFont val="Tahoma"/>
        <family val="2"/>
      </rPr>
      <t xml:space="preserve"> </t>
    </r>
  </si>
  <si>
    <r>
      <t xml:space="preserve">SPASOJE
</t>
    </r>
    <r>
      <rPr>
        <b/>
        <sz val="9"/>
        <color rgb="FFFF0000"/>
        <rFont val="Tahoma"/>
        <family val="2"/>
      </rPr>
      <t>STANKA (FURDULOVIĆ)</t>
    </r>
  </si>
  <si>
    <t>BRANKA (RADIĆ)</t>
  </si>
  <si>
    <t>MILANKA (GRUJIĆ)</t>
  </si>
  <si>
    <r>
      <t xml:space="preserve">MILOSAV
</t>
    </r>
    <r>
      <rPr>
        <b/>
        <sz val="9"/>
        <color rgb="FFFF0000"/>
        <rFont val="Tahoma"/>
        <family val="2"/>
      </rPr>
      <t>STANA (TOŠIĆ)
1875 - 1979</t>
    </r>
  </si>
  <si>
    <t>RAJKA (KOSORIĆ)</t>
  </si>
  <si>
    <r>
      <t xml:space="preserve">DESIMIR
</t>
    </r>
    <r>
      <rPr>
        <b/>
        <sz val="9"/>
        <color indexed="10"/>
        <rFont val="Tahoma"/>
        <family val="2"/>
      </rPr>
      <t xml:space="preserve">MILANA  (EĆIMOVIĆ) </t>
    </r>
  </si>
  <si>
    <t>MIĆO</t>
  </si>
  <si>
    <t xml:space="preserve">DRAŽENKA 
1971 - </t>
  </si>
  <si>
    <t xml:space="preserve">SNEŽANA 
1980 - </t>
  </si>
  <si>
    <t xml:space="preserve">SLAĐANA 
1982 - </t>
  </si>
  <si>
    <r>
      <t xml:space="preserve">MOMIR 1957 -          
</t>
    </r>
    <r>
      <rPr>
        <b/>
        <sz val="9"/>
        <color indexed="10"/>
        <rFont val="Tahoma"/>
        <family val="2"/>
      </rPr>
      <t xml:space="preserve">SANJA (MARIĆ) 
1965 -     </t>
    </r>
    <r>
      <rPr>
        <b/>
        <sz val="9"/>
        <color indexed="12"/>
        <rFont val="Tahoma"/>
        <family val="2"/>
      </rPr>
      <t xml:space="preserve">      </t>
    </r>
  </si>
  <si>
    <r>
      <t xml:space="preserve">ĐORĐO 1866 - 1925
</t>
    </r>
    <r>
      <rPr>
        <b/>
        <sz val="9"/>
        <color rgb="FFFF0000"/>
        <rFont val="Tahoma"/>
        <family val="2"/>
      </rPr>
      <t>BOSA (MIRJANIĆ)</t>
    </r>
  </si>
  <si>
    <t>ĐORĐO</t>
  </si>
  <si>
    <t>JANJA (JAŠAREVIĆ)
1896 - 1972</t>
  </si>
  <si>
    <r>
      <t xml:space="preserve">NENAD 1936 -                
</t>
    </r>
    <r>
      <rPr>
        <b/>
        <sz val="9"/>
        <color rgb="FFFF0000"/>
        <rFont val="Tahoma"/>
        <family val="2"/>
      </rPr>
      <t>NADA (KOSORIĆ) 
1939 -</t>
    </r>
    <r>
      <rPr>
        <b/>
        <sz val="9"/>
        <color indexed="12"/>
        <rFont val="Tahoma"/>
        <family val="2"/>
      </rPr>
      <t xml:space="preserve"> </t>
    </r>
  </si>
  <si>
    <t xml:space="preserve">TANJA (KRUNIĆ) 
1963 - </t>
  </si>
  <si>
    <r>
      <t xml:space="preserve">GOJKO 1938 -            
</t>
    </r>
    <r>
      <rPr>
        <b/>
        <sz val="9"/>
        <color indexed="10"/>
        <rFont val="Tahoma"/>
        <family val="2"/>
      </rPr>
      <t xml:space="preserve">DANA (TERZIĆ) 
1946 - </t>
    </r>
  </si>
  <si>
    <t xml:space="preserve">MILKA (BOŽIĆ) 
1940 - </t>
  </si>
  <si>
    <r>
      <t xml:space="preserve">DUŠAN 1941 -                           
</t>
    </r>
    <r>
      <rPr>
        <b/>
        <sz val="9"/>
        <color indexed="10"/>
        <rFont val="Tahoma"/>
        <family val="2"/>
      </rPr>
      <t xml:space="preserve">NADA (ŠOLAJA) 
1948 - </t>
    </r>
  </si>
  <si>
    <r>
      <t xml:space="preserve">MIHAJLO 1966 -
</t>
    </r>
    <r>
      <rPr>
        <b/>
        <sz val="9"/>
        <color indexed="10"/>
        <rFont val="Tahoma"/>
        <family val="2"/>
      </rPr>
      <t>ŽANA (BAJAGIĆ)
1966 -</t>
    </r>
  </si>
  <si>
    <r>
      <t xml:space="preserve">BOJKAN     - 1965
</t>
    </r>
    <r>
      <rPr>
        <b/>
        <sz val="9"/>
        <color indexed="10"/>
        <rFont val="Tahoma"/>
        <family val="2"/>
      </rPr>
      <t>ANĐELKA (NERIC)</t>
    </r>
  </si>
  <si>
    <t>MILENA (LUČIĆ)</t>
  </si>
  <si>
    <r>
      <t xml:space="preserve">ANĐELKO
</t>
    </r>
    <r>
      <rPr>
        <b/>
        <sz val="9"/>
        <color indexed="10"/>
        <rFont val="Tahoma"/>
        <family val="2"/>
      </rPr>
      <t xml:space="preserve">BOSA (DUPLJANIN)
1885 - </t>
    </r>
  </si>
  <si>
    <t>ANĐELKO</t>
  </si>
  <si>
    <t>ZDRAVKA (JAŠAREVIĆ)</t>
  </si>
  <si>
    <r>
      <t xml:space="preserve">AĆIM  1927 -          
</t>
    </r>
    <r>
      <rPr>
        <b/>
        <sz val="9"/>
        <color indexed="10"/>
        <rFont val="Tahoma"/>
        <family val="2"/>
      </rPr>
      <t>ANĐELIJA (LUČIĆ)</t>
    </r>
  </si>
  <si>
    <r>
      <t xml:space="preserve">NEĐO
</t>
    </r>
    <r>
      <rPr>
        <b/>
        <sz val="9"/>
        <color rgb="FFFF0000"/>
        <rFont val="Tahoma"/>
        <family val="2"/>
      </rPr>
      <t>PEJKA  (UJIĆ)</t>
    </r>
  </si>
  <si>
    <t>1.</t>
  </si>
  <si>
    <t>NEPO-
ZNAT
POL</t>
  </si>
  <si>
    <r>
      <t xml:space="preserve">SAŠA 1970 -
</t>
    </r>
    <r>
      <rPr>
        <b/>
        <sz val="9"/>
        <color indexed="10"/>
        <rFont val="Tahoma"/>
        <family val="2"/>
      </rPr>
      <t xml:space="preserve">OLIVERA (KOVACEVIC) 
1974 - </t>
    </r>
  </si>
  <si>
    <t>SAŠA</t>
  </si>
  <si>
    <t>2.1</t>
  </si>
  <si>
    <t>2.2</t>
  </si>
  <si>
    <t>3.1</t>
  </si>
  <si>
    <t>3.2</t>
  </si>
  <si>
    <t>3.3</t>
  </si>
  <si>
    <t>3.4</t>
  </si>
  <si>
    <t>3.5</t>
  </si>
  <si>
    <t>3.6</t>
  </si>
  <si>
    <t>3.7</t>
  </si>
  <si>
    <t>3.8</t>
  </si>
  <si>
    <t>3.9</t>
  </si>
  <si>
    <t>3.10</t>
  </si>
  <si>
    <t>4.1</t>
  </si>
  <si>
    <t>4.2</t>
  </si>
  <si>
    <t>4.3</t>
  </si>
  <si>
    <t>4.4</t>
  </si>
  <si>
    <t>4.5</t>
  </si>
  <si>
    <t>4.6</t>
  </si>
  <si>
    <t>4.7</t>
  </si>
  <si>
    <t>4.8</t>
  </si>
  <si>
    <t>4.9</t>
  </si>
  <si>
    <t>4.10</t>
  </si>
  <si>
    <t>4.11</t>
  </si>
  <si>
    <t>4.12</t>
  </si>
  <si>
    <t>4.13</t>
  </si>
  <si>
    <t>4.14</t>
  </si>
  <si>
    <t>4.15</t>
  </si>
  <si>
    <t>4.16</t>
  </si>
  <si>
    <t>4.17</t>
  </si>
  <si>
    <t>4.18</t>
  </si>
  <si>
    <t>4.19</t>
  </si>
  <si>
    <t>4.20</t>
  </si>
  <si>
    <t>4.21</t>
  </si>
  <si>
    <t>4.22</t>
  </si>
  <si>
    <t>4.23</t>
  </si>
  <si>
    <t>4.24</t>
  </si>
  <si>
    <t>5.1</t>
  </si>
  <si>
    <t>5.2</t>
  </si>
  <si>
    <t>5.3</t>
  </si>
  <si>
    <t>5.4</t>
  </si>
  <si>
    <t>5.5</t>
  </si>
  <si>
    <t>5.6</t>
  </si>
  <si>
    <t>5.7</t>
  </si>
  <si>
    <t>5.8</t>
  </si>
  <si>
    <t>5.9</t>
  </si>
  <si>
    <t>5.10</t>
  </si>
  <si>
    <t>5.11</t>
  </si>
  <si>
    <t>5.12</t>
  </si>
  <si>
    <t>5.13</t>
  </si>
  <si>
    <t>5.14</t>
  </si>
  <si>
    <t>5.15</t>
  </si>
  <si>
    <t>5.16</t>
  </si>
  <si>
    <t>5.17</t>
  </si>
  <si>
    <t>5.18</t>
  </si>
  <si>
    <t>5.19</t>
  </si>
  <si>
    <t>5.20</t>
  </si>
  <si>
    <t>5.21</t>
  </si>
  <si>
    <t>5.22</t>
  </si>
  <si>
    <t>5.23</t>
  </si>
  <si>
    <t>5.24</t>
  </si>
  <si>
    <t>5.25</t>
  </si>
  <si>
    <t>5.26</t>
  </si>
  <si>
    <t>5.27</t>
  </si>
  <si>
    <t>5.28</t>
  </si>
  <si>
    <t>5.29</t>
  </si>
  <si>
    <t>5.30</t>
  </si>
  <si>
    <t>5.31</t>
  </si>
  <si>
    <t>5.32</t>
  </si>
  <si>
    <t>5.33</t>
  </si>
  <si>
    <t>5.34</t>
  </si>
  <si>
    <t>5.35</t>
  </si>
  <si>
    <t>5.36</t>
  </si>
  <si>
    <t>5.37</t>
  </si>
  <si>
    <t>5.38</t>
  </si>
  <si>
    <t>5.39</t>
  </si>
  <si>
    <t>5.40</t>
  </si>
  <si>
    <t>5.41</t>
  </si>
  <si>
    <t>5.42</t>
  </si>
  <si>
    <t>5.43</t>
  </si>
  <si>
    <t>5.44</t>
  </si>
  <si>
    <t>5.45</t>
  </si>
  <si>
    <t>5.46</t>
  </si>
  <si>
    <t>6.1</t>
  </si>
  <si>
    <t>6.2</t>
  </si>
  <si>
    <t>6.3</t>
  </si>
  <si>
    <t>6.4</t>
  </si>
  <si>
    <t>6.5</t>
  </si>
  <si>
    <t>6.6</t>
  </si>
  <si>
    <t>6.7</t>
  </si>
  <si>
    <t>6.8</t>
  </si>
  <si>
    <t>6.9</t>
  </si>
  <si>
    <t>6.10</t>
  </si>
  <si>
    <t>6.11</t>
  </si>
  <si>
    <t>6.12</t>
  </si>
  <si>
    <t>6.13</t>
  </si>
  <si>
    <t>6.14</t>
  </si>
  <si>
    <t>6.15</t>
  </si>
  <si>
    <t>6.16</t>
  </si>
  <si>
    <t>6.17</t>
  </si>
  <si>
    <t>6.18</t>
  </si>
  <si>
    <t>6.19</t>
  </si>
  <si>
    <t>6.20</t>
  </si>
  <si>
    <t>6.21</t>
  </si>
  <si>
    <t>6.22</t>
  </si>
  <si>
    <t>6.23</t>
  </si>
  <si>
    <t>6.24</t>
  </si>
  <si>
    <t>6.25</t>
  </si>
  <si>
    <t>6.26</t>
  </si>
  <si>
    <t>6.27</t>
  </si>
  <si>
    <t>6.28</t>
  </si>
  <si>
    <t>6.29</t>
  </si>
  <si>
    <t>6.30</t>
  </si>
  <si>
    <t>6.31</t>
  </si>
  <si>
    <t>6.32</t>
  </si>
  <si>
    <t>6.33</t>
  </si>
  <si>
    <t>6.34</t>
  </si>
  <si>
    <t>6.35</t>
  </si>
  <si>
    <t>6.36</t>
  </si>
  <si>
    <t>6.37</t>
  </si>
  <si>
    <t>6.38</t>
  </si>
  <si>
    <t>6.39</t>
  </si>
  <si>
    <t>6.40</t>
  </si>
  <si>
    <t>6.41</t>
  </si>
  <si>
    <t>7.1</t>
  </si>
  <si>
    <t>7.2</t>
  </si>
  <si>
    <t>7.3</t>
  </si>
  <si>
    <t>7.4</t>
  </si>
  <si>
    <t>7.5</t>
  </si>
  <si>
    <t>7.6</t>
  </si>
  <si>
    <t>7.7</t>
  </si>
  <si>
    <t>7.8</t>
  </si>
  <si>
    <t>7.9</t>
  </si>
  <si>
    <t>7.10</t>
  </si>
  <si>
    <t>7.11</t>
  </si>
  <si>
    <t>7.12</t>
  </si>
  <si>
    <t>7.13</t>
  </si>
  <si>
    <t>7.14</t>
  </si>
  <si>
    <t>7.15</t>
  </si>
  <si>
    <t>7.16</t>
  </si>
  <si>
    <t>7.17</t>
  </si>
  <si>
    <t>7.18</t>
  </si>
  <si>
    <t>7.19</t>
  </si>
  <si>
    <t>7.20</t>
  </si>
  <si>
    <t>7.21</t>
  </si>
  <si>
    <t>7.22</t>
  </si>
  <si>
    <t>7.23</t>
  </si>
  <si>
    <t>7.24</t>
  </si>
  <si>
    <t>7.25</t>
  </si>
  <si>
    <t>7.26</t>
  </si>
  <si>
    <t>7.27</t>
  </si>
  <si>
    <t>7.28</t>
  </si>
  <si>
    <t>7.29</t>
  </si>
  <si>
    <t>8.1</t>
  </si>
  <si>
    <t>8.2</t>
  </si>
  <si>
    <t>8.3</t>
  </si>
  <si>
    <t>8.4</t>
  </si>
  <si>
    <t xml:space="preserve">   </t>
  </si>
  <si>
    <t xml:space="preserve">LARA
1988 - </t>
  </si>
  <si>
    <r>
      <rPr>
        <b/>
        <sz val="9"/>
        <color rgb="FF0000FF"/>
        <rFont val="Tahoma"/>
        <family val="2"/>
      </rPr>
      <t xml:space="preserve">
</t>
    </r>
    <r>
      <rPr>
        <b/>
        <sz val="16"/>
        <color rgb="FFFF0000"/>
        <rFont val="Tahoma"/>
        <family val="2"/>
      </rPr>
      <t>?</t>
    </r>
  </si>
  <si>
    <t>GENERACIJSKA
GRANA
RODOSLOVA</t>
  </si>
  <si>
    <r>
      <t xml:space="preserve">MILAN 
</t>
    </r>
    <r>
      <rPr>
        <b/>
        <sz val="9"/>
        <color indexed="10"/>
        <rFont val="Tahoma"/>
        <family val="2"/>
      </rPr>
      <t>ANICA 
(1901 - 1993)</t>
    </r>
  </si>
  <si>
    <r>
      <t xml:space="preserve">NIKOLA 1892 - </t>
    </r>
    <r>
      <rPr>
        <b/>
        <sz val="12"/>
        <color indexed="12"/>
        <rFont val="Tahoma"/>
        <family val="2"/>
      </rPr>
      <t>†</t>
    </r>
  </si>
  <si>
    <r>
      <t xml:space="preserve">VUKOLA 
1897 - 1968
</t>
    </r>
    <r>
      <rPr>
        <b/>
        <sz val="9"/>
        <color rgb="FFFF0000"/>
        <rFont val="Tahoma"/>
        <family val="2"/>
      </rPr>
      <t>ĐUKA (PAUNIĆ) 
1912 - 1983</t>
    </r>
  </si>
  <si>
    <r>
      <t xml:space="preserve">MILOŠ 
1900 - 1988
</t>
    </r>
    <r>
      <rPr>
        <b/>
        <sz val="9"/>
        <color rgb="FFFF0000"/>
        <rFont val="Tahoma"/>
        <family val="2"/>
      </rPr>
      <t>TARSA (GOLIJANIN)</t>
    </r>
  </si>
  <si>
    <r>
      <t xml:space="preserve">BLAGOJE 
1892 - 1969
</t>
    </r>
    <r>
      <rPr>
        <b/>
        <sz val="9"/>
        <color rgb="FFFF0000"/>
        <rFont val="Tahoma"/>
        <family val="2"/>
      </rPr>
      <t>ĐUKA 
1909 - 1941</t>
    </r>
  </si>
  <si>
    <r>
      <t xml:space="preserve">PAVLE 
1884 - 1976
</t>
    </r>
    <r>
      <rPr>
        <b/>
        <sz val="9"/>
        <color rgb="FFFF0000"/>
        <rFont val="Tahoma"/>
        <family val="2"/>
      </rPr>
      <t>JA</t>
    </r>
    <r>
      <rPr>
        <b/>
        <sz val="9"/>
        <color indexed="10"/>
        <rFont val="Tahoma"/>
        <family val="2"/>
      </rPr>
      <t xml:space="preserve">NJA (PRŽULJ)
1893 - 1983
</t>
    </r>
    <r>
      <rPr>
        <b/>
        <sz val="9"/>
        <color rgb="FF0000FF"/>
        <rFont val="Tahoma"/>
        <family val="2"/>
      </rPr>
      <t>PAVLE 1884 - 1976</t>
    </r>
    <r>
      <rPr>
        <b/>
        <sz val="9"/>
        <color indexed="10"/>
        <rFont val="Tahoma"/>
        <family val="2"/>
      </rPr>
      <t xml:space="preserve">
JANJA (PRZULJ) 1893 - 1983
</t>
    </r>
    <r>
      <rPr>
        <b/>
        <sz val="9"/>
        <color rgb="FF0000FF"/>
        <rFont val="Tahoma"/>
        <family val="2"/>
      </rPr>
      <t>PAVLE 1884 - 1976</t>
    </r>
    <r>
      <rPr>
        <b/>
        <sz val="9"/>
        <color indexed="10"/>
        <rFont val="Tahoma"/>
        <family val="2"/>
      </rPr>
      <t xml:space="preserve">
JANJA (PRZULJ) 1893 - 1983
</t>
    </r>
  </si>
  <si>
    <r>
      <t xml:space="preserve">MIĆO 
1920 - 1965
</t>
    </r>
    <r>
      <rPr>
        <b/>
        <sz val="9"/>
        <color rgb="FFFF0000"/>
        <rFont val="Tahoma"/>
        <family val="2"/>
      </rPr>
      <t>DRAGICA (MRTIĆ) 
1926 - 2000</t>
    </r>
    <r>
      <rPr>
        <b/>
        <sz val="9"/>
        <color indexed="12"/>
        <rFont val="Tahoma"/>
        <family val="2"/>
      </rPr>
      <t xml:space="preserve">     </t>
    </r>
  </si>
  <si>
    <r>
      <t xml:space="preserve">OBRAD 
1930 - 2003
</t>
    </r>
    <r>
      <rPr>
        <b/>
        <sz val="9"/>
        <color rgb="FFFF0000"/>
        <rFont val="Tahoma"/>
        <family val="2"/>
      </rPr>
      <t>MILANA (SAVČIĆ) 
1931 -</t>
    </r>
    <r>
      <rPr>
        <b/>
        <sz val="9"/>
        <color indexed="12"/>
        <rFont val="Tahoma"/>
        <family val="2"/>
      </rPr>
      <t xml:space="preserve"> </t>
    </r>
  </si>
  <si>
    <r>
      <t xml:space="preserve">MIHAJLO 
1894 - 1945
</t>
    </r>
    <r>
      <rPr>
        <b/>
        <sz val="9"/>
        <color rgb="FFFF0000"/>
        <rFont val="Tahoma"/>
        <family val="2"/>
      </rPr>
      <t>RADENKA (KOSORIĆ)
1916 - 2000</t>
    </r>
  </si>
  <si>
    <r>
      <t xml:space="preserve">NIKODIN  1932 -                  
</t>
    </r>
    <r>
      <rPr>
        <b/>
        <sz val="9"/>
        <color indexed="10"/>
        <rFont val="Tahoma"/>
        <family val="2"/>
      </rPr>
      <t xml:space="preserve">SLOBA (SAVČIĆ) 1932 - </t>
    </r>
  </si>
  <si>
    <r>
      <t xml:space="preserve">BOŽIDAR 1946 -              
</t>
    </r>
    <r>
      <rPr>
        <b/>
        <sz val="9"/>
        <color indexed="10"/>
        <rFont val="Tahoma"/>
        <family val="2"/>
      </rPr>
      <t>INGRID (VIND) 1951 -</t>
    </r>
  </si>
  <si>
    <r>
      <t xml:space="preserve">MILOMIR 1954 -               
</t>
    </r>
    <r>
      <rPr>
        <b/>
        <sz val="9"/>
        <color indexed="10"/>
        <rFont val="Tahoma"/>
        <family val="2"/>
      </rPr>
      <t xml:space="preserve">NADA (ĆUREVIĆ) 
1957 - </t>
    </r>
  </si>
  <si>
    <t>ANĐELKA (SAVČIĆ)
1899 - 1969</t>
  </si>
  <si>
    <r>
      <t xml:space="preserve">VIDE-GORAN 1952 -
</t>
    </r>
    <r>
      <rPr>
        <b/>
        <sz val="9"/>
        <color indexed="10"/>
        <rFont val="Tahoma"/>
        <family val="2"/>
      </rPr>
      <t>SLAVICA (ČAPRIĆ)</t>
    </r>
  </si>
  <si>
    <t xml:space="preserve">ILINKA-MICA (ORAŠANIN)
1955 - </t>
  </si>
  <si>
    <t xml:space="preserve">MILORAD-BATO 1988 - </t>
  </si>
  <si>
    <t>SVETLANA-CECA</t>
  </si>
  <si>
    <r>
      <t xml:space="preserve">VLADIMIR 1978 -
</t>
    </r>
    <r>
      <rPr>
        <b/>
        <sz val="9"/>
        <color indexed="10"/>
        <rFont val="Tahoma"/>
        <family val="2"/>
        <charset val="238"/>
      </rPr>
      <t>SVJETLANA (VUKOVIĆ) 
1978 -</t>
    </r>
  </si>
  <si>
    <t xml:space="preserve">MLADEN 1981 - </t>
  </si>
  <si>
    <r>
      <t xml:space="preserve">LJUBO-BATO 1950 -
</t>
    </r>
    <r>
      <rPr>
        <b/>
        <sz val="9"/>
        <color rgb="FFFF0000"/>
        <rFont val="Tahoma"/>
        <family val="2"/>
      </rPr>
      <t>RADA (RADOVIĆ) 
1950 -</t>
    </r>
  </si>
  <si>
    <r>
      <t xml:space="preserve">BRANISLAV-MIKI 1959 -
</t>
    </r>
    <r>
      <rPr>
        <b/>
        <sz val="9"/>
        <color rgb="FFFF0000"/>
        <rFont val="Tahoma"/>
        <family val="2"/>
      </rPr>
      <t>JELENA (NIKOLIĆ) 
1964 -</t>
    </r>
    <r>
      <rPr>
        <b/>
        <sz val="9"/>
        <color indexed="12"/>
        <rFont val="Tahoma"/>
        <family val="2"/>
      </rPr>
      <t xml:space="preserve"> </t>
    </r>
  </si>
  <si>
    <t xml:space="preserve">EVA-BEBICA (MIHAJLOV)
1950 - </t>
  </si>
  <si>
    <r>
      <t xml:space="preserve">MIODRAG-BATO 1954 -
</t>
    </r>
    <r>
      <rPr>
        <b/>
        <sz val="9"/>
        <color indexed="10"/>
        <rFont val="Tahoma"/>
        <family val="2"/>
      </rPr>
      <t xml:space="preserve">ANA (VOVČUK) 
1954 -       </t>
    </r>
    <r>
      <rPr>
        <b/>
        <sz val="9"/>
        <color indexed="12"/>
        <rFont val="Tahoma"/>
        <family val="2"/>
      </rPr>
      <t xml:space="preserve"> </t>
    </r>
  </si>
  <si>
    <r>
      <t xml:space="preserve">STANKO 1930 -          
</t>
    </r>
    <r>
      <rPr>
        <b/>
        <sz val="9"/>
        <color rgb="FFFF0000"/>
        <rFont val="Tahoma"/>
        <family val="2"/>
      </rPr>
      <t>MILKA-MICA (BLAŽIĆ)
1930 - 1996</t>
    </r>
    <r>
      <rPr>
        <b/>
        <sz val="9"/>
        <color indexed="12"/>
        <rFont val="Tahoma"/>
        <family val="2"/>
      </rPr>
      <t xml:space="preserve">          </t>
    </r>
  </si>
  <si>
    <r>
      <t xml:space="preserve">PREDRAG-DRAGAN 1956 - 
</t>
    </r>
    <r>
      <rPr>
        <b/>
        <sz val="9"/>
        <color indexed="10"/>
        <rFont val="Tahoma"/>
        <family val="2"/>
      </rPr>
      <t xml:space="preserve">MILEVA (MILOŠEVIĆ) 
1960 -                         </t>
    </r>
  </si>
  <si>
    <r>
      <t xml:space="preserve">MIROSLAV-MIKI 1958 -
</t>
    </r>
    <r>
      <rPr>
        <b/>
        <sz val="9"/>
        <color indexed="10"/>
        <rFont val="Tahoma"/>
        <family val="2"/>
      </rPr>
      <t>LJILJANA (KARIĆ) 
1965 -</t>
    </r>
  </si>
  <si>
    <r>
      <t xml:space="preserve">SLOBODAN-BOBAN 1959 -
</t>
    </r>
    <r>
      <rPr>
        <b/>
        <sz val="9"/>
        <color rgb="FFFF0000"/>
        <rFont val="Tahoma"/>
        <family val="2"/>
      </rPr>
      <t>VISNJA (VRBARAC) 
1959 -</t>
    </r>
    <r>
      <rPr>
        <b/>
        <sz val="9"/>
        <color indexed="12"/>
        <rFont val="Tahoma"/>
        <family val="2"/>
      </rPr>
      <t xml:space="preserve"> </t>
    </r>
  </si>
  <si>
    <r>
      <t xml:space="preserve">MARKO 1983 -
</t>
    </r>
    <r>
      <rPr>
        <b/>
        <sz val="9"/>
        <color indexed="10"/>
        <rFont val="Tahoma"/>
        <family val="2"/>
        <charset val="238"/>
      </rPr>
      <t xml:space="preserve">ALBA RELLO POZA 
1986 - </t>
    </r>
  </si>
  <si>
    <t xml:space="preserve">        M</t>
  </si>
  <si>
    <t>3. 
GENERACIJA</t>
  </si>
  <si>
    <t>4. 
GENERACIJA</t>
  </si>
  <si>
    <t>5. 
GENERACIJA</t>
  </si>
  <si>
    <t>6. 
GENERACIJA</t>
  </si>
  <si>
    <t>7. 
GENERACIJA</t>
  </si>
  <si>
    <t>8. 
GENERACIJA</t>
  </si>
  <si>
    <t>9. 
GENERACIJA</t>
  </si>
  <si>
    <t>да прегрјешениј остављеније подаст душам нашим.</t>
  </si>
  <si>
    <t>PREDRAG-DRAGAN</t>
  </si>
  <si>
    <t xml:space="preserve">AUTOR: ZORAN (DESIMIR) KEZUNOVIC, AVGUST 2018.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</si>
</sst>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9" x14ac:knownFonts="1">
    <font>
      <sz val="10"/>
      <name val="Arial"/>
    </font>
    <font>
      <sz val="10"/>
      <name val="Tahoma"/>
      <family val="2"/>
    </font>
    <font>
      <b/>
      <sz val="11"/>
      <color indexed="12"/>
      <name val="Tahoma"/>
      <family val="2"/>
    </font>
    <font>
      <b/>
      <sz val="11"/>
      <name val="Tahoma"/>
      <family val="2"/>
    </font>
    <font>
      <b/>
      <sz val="9"/>
      <color indexed="12"/>
      <name val="Tahoma"/>
      <family val="2"/>
    </font>
    <font>
      <b/>
      <sz val="9"/>
      <name val="Tahoma"/>
      <family val="2"/>
    </font>
    <font>
      <b/>
      <sz val="8"/>
      <name val="Tahoma"/>
      <family val="2"/>
    </font>
    <font>
      <b/>
      <sz val="10"/>
      <name val="Arial"/>
    </font>
    <font>
      <b/>
      <sz val="9"/>
      <color indexed="10"/>
      <name val="Tahoma"/>
      <family val="2"/>
    </font>
    <font>
      <b/>
      <sz val="12"/>
      <color indexed="12"/>
      <name val="Tahoma"/>
      <family val="2"/>
    </font>
    <font>
      <sz val="8"/>
      <name val="Tahoma"/>
      <family val="2"/>
    </font>
    <font>
      <sz val="12"/>
      <name val="Arial"/>
    </font>
    <font>
      <b/>
      <sz val="8.5"/>
      <name val="Tahoma"/>
      <family val="2"/>
    </font>
    <font>
      <sz val="10"/>
      <color indexed="62"/>
      <name val="Arial Black"/>
      <family val="2"/>
    </font>
    <font>
      <b/>
      <sz val="8"/>
      <color indexed="12"/>
      <name val="Arial"/>
    </font>
    <font>
      <b/>
      <sz val="9"/>
      <color indexed="10"/>
      <name val="Tahoma"/>
      <family val="2"/>
      <charset val="238"/>
    </font>
    <font>
      <b/>
      <sz val="12"/>
      <color rgb="FFFF0000"/>
      <name val="Tahoma"/>
      <family val="2"/>
    </font>
    <font>
      <sz val="10"/>
      <name val="Arial"/>
      <family val="2"/>
    </font>
    <font>
      <b/>
      <sz val="9"/>
      <color rgb="FFFF0000"/>
      <name val="Tahoma"/>
      <family val="2"/>
    </font>
    <font>
      <sz val="9"/>
      <name val="Arial"/>
      <family val="2"/>
    </font>
    <font>
      <b/>
      <sz val="9"/>
      <color rgb="FF0000FF"/>
      <name val="Tahoma"/>
      <family val="2"/>
    </font>
    <font>
      <b/>
      <sz val="13"/>
      <color indexed="10"/>
      <name val="Tahoma"/>
      <family val="2"/>
    </font>
    <font>
      <b/>
      <sz val="13"/>
      <color rgb="FFFF0000"/>
      <name val="Tahoma"/>
      <family val="2"/>
    </font>
    <font>
      <b/>
      <sz val="11"/>
      <color rgb="FFFF0000"/>
      <name val="Tahoma"/>
      <family val="2"/>
    </font>
    <font>
      <sz val="11"/>
      <name val="Arial"/>
      <family val="2"/>
    </font>
    <font>
      <b/>
      <sz val="11"/>
      <color rgb="FF0000FF"/>
      <name val="Tahoma"/>
      <family val="2"/>
    </font>
    <font>
      <b/>
      <sz val="12"/>
      <name val="Arial"/>
      <family val="2"/>
    </font>
    <font>
      <b/>
      <sz val="10"/>
      <color theme="0"/>
      <name val="Tahoma"/>
      <family val="2"/>
    </font>
    <font>
      <b/>
      <sz val="11"/>
      <color theme="0"/>
      <name val="Tahoma"/>
      <family val="2"/>
    </font>
    <font>
      <b/>
      <sz val="13"/>
      <color theme="0"/>
      <name val="Tahoma"/>
      <family val="2"/>
    </font>
    <font>
      <b/>
      <sz val="12"/>
      <color theme="0"/>
      <name val="Tahoma"/>
      <family val="2"/>
    </font>
    <font>
      <b/>
      <sz val="14"/>
      <color rgb="FFFF0000"/>
      <name val="Tahoma"/>
      <family val="2"/>
    </font>
    <font>
      <b/>
      <sz val="12"/>
      <color rgb="FF0000FF"/>
      <name val="Tahoma"/>
      <family val="2"/>
    </font>
    <font>
      <b/>
      <sz val="9"/>
      <color rgb="FF000000"/>
      <name val="Tahoma"/>
      <family val="2"/>
    </font>
    <font>
      <b/>
      <sz val="10"/>
      <name val="Tahoma"/>
      <family val="2"/>
    </font>
    <font>
      <b/>
      <sz val="10"/>
      <color rgb="FFFF0000"/>
      <name val="Tahoma"/>
      <family val="2"/>
    </font>
    <font>
      <b/>
      <sz val="16"/>
      <color rgb="FFFF0000"/>
      <name val="Tahoma"/>
      <family val="2"/>
    </font>
    <font>
      <b/>
      <sz val="13"/>
      <name val="Tahoma"/>
      <family val="2"/>
    </font>
    <font>
      <b/>
      <sz val="12"/>
      <name val="Tahoma"/>
      <family val="2"/>
    </font>
    <font>
      <b/>
      <sz val="16"/>
      <color theme="0"/>
      <name val="Tahoma"/>
      <family val="2"/>
    </font>
    <font>
      <b/>
      <sz val="16"/>
      <color indexed="12"/>
      <name val="Tahoma"/>
      <family val="2"/>
    </font>
    <font>
      <b/>
      <sz val="10.5"/>
      <color rgb="FF0000CC"/>
      <name val="Tahoma"/>
      <family val="2"/>
    </font>
    <font>
      <b/>
      <sz val="10.5"/>
      <color rgb="FF0000FF"/>
      <name val="Tahoma"/>
      <family val="2"/>
    </font>
    <font>
      <b/>
      <sz val="13"/>
      <color rgb="FF0000FF"/>
      <name val="Tahoma"/>
      <family val="2"/>
    </font>
    <font>
      <b/>
      <sz val="28"/>
      <name val="Arial"/>
      <family val="2"/>
    </font>
    <font>
      <b/>
      <sz val="16"/>
      <name val="Tahoma"/>
      <family val="2"/>
    </font>
    <font>
      <b/>
      <sz val="13"/>
      <color indexed="12"/>
      <name val="Arial"/>
      <family val="2"/>
    </font>
    <font>
      <b/>
      <sz val="13"/>
      <name val="Arial"/>
      <family val="2"/>
    </font>
    <font>
      <sz val="13"/>
      <name val="Arial"/>
      <family val="2"/>
    </font>
    <font>
      <sz val="13"/>
      <name val="Tahoma"/>
      <family val="2"/>
    </font>
    <font>
      <b/>
      <sz val="14"/>
      <color indexed="10"/>
      <name val="Arial"/>
      <family val="2"/>
    </font>
    <font>
      <b/>
      <sz val="14"/>
      <color indexed="12"/>
      <name val="Arial"/>
      <family val="2"/>
    </font>
    <font>
      <b/>
      <sz val="10"/>
      <color rgb="FF3333FF"/>
      <name val="Tahoma"/>
      <family val="2"/>
    </font>
    <font>
      <b/>
      <sz val="11"/>
      <color rgb="FF3333FF"/>
      <name val="Tahoma"/>
      <family val="2"/>
    </font>
    <font>
      <b/>
      <sz val="13"/>
      <color rgb="FF3333FF"/>
      <name val="Tahoma"/>
      <family val="2"/>
    </font>
    <font>
      <b/>
      <sz val="10"/>
      <color rgb="FF793905"/>
      <name val="Tahoma"/>
      <family val="2"/>
    </font>
    <font>
      <b/>
      <sz val="11"/>
      <color rgb="FF793905"/>
      <name val="Tahoma"/>
      <family val="2"/>
    </font>
    <font>
      <b/>
      <sz val="13"/>
      <color rgb="FF793905"/>
      <name val="Tahoma"/>
      <family val="2"/>
    </font>
    <font>
      <b/>
      <sz val="12"/>
      <color rgb="FF642F04"/>
      <name val="Perpetua"/>
      <family val="1"/>
    </font>
  </fonts>
  <fills count="24">
    <fill>
      <patternFill patternType="none"/>
    </fill>
    <fill>
      <patternFill patternType="gray125"/>
    </fill>
    <fill>
      <patternFill patternType="solid">
        <fgColor indexed="41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rgb="FFC0C0C0"/>
        <bgColor indexed="64"/>
      </patternFill>
    </fill>
    <fill>
      <patternFill patternType="solid">
        <fgColor rgb="FF0000FF"/>
        <bgColor indexed="64"/>
      </patternFill>
    </fill>
    <fill>
      <patternFill patternType="solid">
        <fgColor rgb="FF0066FF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FFE1FF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rgb="FF99CCFF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FFB9"/>
        <bgColor indexed="64"/>
      </patternFill>
    </fill>
    <fill>
      <patternFill patternType="solid">
        <fgColor rgb="FFFFC305"/>
        <bgColor indexed="64"/>
      </patternFill>
    </fill>
    <fill>
      <patternFill patternType="solid">
        <fgColor rgb="FFD5D5D5"/>
        <bgColor indexed="64"/>
      </patternFill>
    </fill>
    <fill>
      <patternFill patternType="solid">
        <fgColor rgb="FFFFE8D1"/>
        <bgColor indexed="64"/>
      </patternFill>
    </fill>
    <fill>
      <patternFill patternType="solid">
        <fgColor rgb="FFFFFFD5"/>
        <bgColor indexed="64"/>
      </patternFill>
    </fill>
    <fill>
      <patternFill patternType="solid">
        <fgColor theme="8" tint="0.79998168889431442"/>
        <bgColor indexed="64"/>
      </patternFill>
    </fill>
  </fills>
  <borders count="146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ck">
        <color indexed="64"/>
      </right>
      <top style="thick">
        <color indexed="64"/>
      </top>
      <bottom/>
      <diagonal/>
    </border>
    <border>
      <left/>
      <right/>
      <top/>
      <bottom style="thick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ck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ck">
        <color auto="1"/>
      </left>
      <right/>
      <top/>
      <bottom/>
      <diagonal/>
    </border>
    <border>
      <left/>
      <right/>
      <top/>
      <bottom style="mediumDashed">
        <color auto="1"/>
      </bottom>
      <diagonal/>
    </border>
    <border>
      <left/>
      <right/>
      <top/>
      <bottom style="medium">
        <color theme="0"/>
      </bottom>
      <diagonal/>
    </border>
    <border>
      <left style="thin">
        <color indexed="64"/>
      </left>
      <right style="thin">
        <color indexed="64"/>
      </right>
      <top style="medium">
        <color theme="0"/>
      </top>
      <bottom/>
      <diagonal/>
    </border>
    <border>
      <left/>
      <right style="medium">
        <color theme="0"/>
      </right>
      <top/>
      <bottom style="medium">
        <color theme="0"/>
      </bottom>
      <diagonal/>
    </border>
    <border>
      <left/>
      <right style="medium">
        <color theme="0"/>
      </right>
      <top/>
      <bottom/>
      <diagonal/>
    </border>
    <border>
      <left style="medium">
        <color theme="0"/>
      </left>
      <right style="medium">
        <color theme="0"/>
      </right>
      <top/>
      <bottom style="medium">
        <color theme="0"/>
      </bottom>
      <diagonal/>
    </border>
    <border>
      <left style="medium">
        <color theme="0"/>
      </left>
      <right style="medium">
        <color theme="0"/>
      </right>
      <top/>
      <bottom/>
      <diagonal/>
    </border>
    <border>
      <left style="thin">
        <color indexed="64"/>
      </left>
      <right style="thick">
        <color indexed="64"/>
      </right>
      <top style="medium">
        <color theme="0"/>
      </top>
      <bottom/>
      <diagonal/>
    </border>
    <border>
      <left style="thin">
        <color indexed="64"/>
      </left>
      <right style="thick">
        <color indexed="64"/>
      </right>
      <top/>
      <bottom/>
      <diagonal/>
    </border>
    <border>
      <left style="thin">
        <color indexed="64"/>
      </left>
      <right style="thick">
        <color indexed="64"/>
      </right>
      <top/>
      <bottom style="thin">
        <color indexed="64"/>
      </bottom>
      <diagonal/>
    </border>
    <border>
      <left/>
      <right/>
      <top style="mediumDashed">
        <color indexed="64"/>
      </top>
      <bottom/>
      <diagonal/>
    </border>
    <border>
      <left/>
      <right/>
      <top style="thin">
        <color indexed="64"/>
      </top>
      <bottom style="mediumDashed">
        <color indexed="64"/>
      </bottom>
      <diagonal/>
    </border>
    <border>
      <left/>
      <right style="thick">
        <color indexed="64"/>
      </right>
      <top style="medium">
        <color theme="0"/>
      </top>
      <bottom/>
      <diagonal/>
    </border>
    <border>
      <left style="thick">
        <color indexed="64"/>
      </left>
      <right style="thick">
        <color indexed="64"/>
      </right>
      <top/>
      <bottom/>
      <diagonal/>
    </border>
    <border>
      <left style="thick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/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ck">
        <color indexed="64"/>
      </right>
      <top style="medium">
        <color theme="0"/>
      </top>
      <bottom/>
      <diagonal/>
    </border>
    <border>
      <left style="thick">
        <color indexed="64"/>
      </left>
      <right style="thick">
        <color indexed="64"/>
      </right>
      <top style="thin">
        <color indexed="64"/>
      </top>
      <bottom style="thin">
        <color theme="0"/>
      </bottom>
      <diagonal/>
    </border>
    <border>
      <left/>
      <right style="thick">
        <color indexed="64"/>
      </right>
      <top style="thin">
        <color indexed="64"/>
      </top>
      <bottom style="thin">
        <color theme="0"/>
      </bottom>
      <diagonal/>
    </border>
    <border>
      <left style="thick">
        <color indexed="64"/>
      </left>
      <right style="thick">
        <color indexed="64"/>
      </right>
      <top style="thin">
        <color theme="0"/>
      </top>
      <bottom style="thin">
        <color theme="0"/>
      </bottom>
      <diagonal/>
    </border>
    <border>
      <left/>
      <right style="thick">
        <color indexed="64"/>
      </right>
      <top style="thin">
        <color theme="0"/>
      </top>
      <bottom style="thin">
        <color theme="0"/>
      </bottom>
      <diagonal/>
    </border>
    <border>
      <left style="thick">
        <color indexed="64"/>
      </left>
      <right style="thick">
        <color indexed="64"/>
      </right>
      <top style="thin">
        <color theme="0"/>
      </top>
      <bottom style="thin">
        <color indexed="64"/>
      </bottom>
      <diagonal/>
    </border>
    <border>
      <left/>
      <right style="thick">
        <color indexed="64"/>
      </right>
      <top style="thin">
        <color theme="0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/>
      <bottom style="thick">
        <color indexed="64"/>
      </bottom>
      <diagonal/>
    </border>
    <border>
      <left style="thin">
        <color indexed="64"/>
      </left>
      <right style="thin">
        <color indexed="64"/>
      </right>
      <top/>
      <bottom style="thick">
        <color indexed="64"/>
      </bottom>
      <diagonal/>
    </border>
    <border>
      <left/>
      <right/>
      <top style="thin">
        <color indexed="64"/>
      </top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/>
      <right style="thick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/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ck">
        <color theme="0"/>
      </right>
      <top style="thin">
        <color indexed="64"/>
      </top>
      <bottom style="thin">
        <color indexed="64"/>
      </bottom>
      <diagonal/>
    </border>
    <border>
      <left style="thick">
        <color theme="0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ck">
        <color theme="0"/>
      </right>
      <top style="thin">
        <color indexed="64"/>
      </top>
      <bottom style="thin">
        <color theme="0"/>
      </bottom>
      <diagonal/>
    </border>
    <border>
      <left style="thick">
        <color theme="0"/>
      </left>
      <right style="thick">
        <color indexed="64"/>
      </right>
      <top style="thin">
        <color indexed="64"/>
      </top>
      <bottom style="thin">
        <color theme="0"/>
      </bottom>
      <diagonal/>
    </border>
    <border>
      <left style="thick">
        <color indexed="64"/>
      </left>
      <right style="thick">
        <color theme="0"/>
      </right>
      <top style="thin">
        <color theme="0"/>
      </top>
      <bottom style="thin">
        <color indexed="64"/>
      </bottom>
      <diagonal/>
    </border>
    <border>
      <left style="thick">
        <color theme="0"/>
      </left>
      <right style="thick">
        <color indexed="64"/>
      </right>
      <top style="thin">
        <color theme="0"/>
      </top>
      <bottom style="thin">
        <color indexed="64"/>
      </bottom>
      <diagonal/>
    </border>
    <border>
      <left style="thick">
        <color indexed="64"/>
      </left>
      <right style="thick">
        <color theme="0"/>
      </right>
      <top style="medium">
        <color theme="0"/>
      </top>
      <bottom style="thin">
        <color indexed="64"/>
      </bottom>
      <diagonal/>
    </border>
    <border>
      <left style="thick">
        <color theme="0"/>
      </left>
      <right style="thick">
        <color indexed="64"/>
      </right>
      <top style="medium">
        <color theme="0"/>
      </top>
      <bottom style="thin">
        <color indexed="64"/>
      </bottom>
      <diagonal/>
    </border>
    <border>
      <left style="thick">
        <color indexed="64"/>
      </left>
      <right style="thick">
        <color theme="0"/>
      </right>
      <top style="medium">
        <color theme="0"/>
      </top>
      <bottom style="thin">
        <color theme="0"/>
      </bottom>
      <diagonal/>
    </border>
    <border>
      <left style="thick">
        <color theme="0"/>
      </left>
      <right style="thick">
        <color indexed="64"/>
      </right>
      <top style="medium">
        <color theme="0"/>
      </top>
      <bottom style="thin">
        <color theme="0"/>
      </bottom>
      <diagonal/>
    </border>
    <border>
      <left style="thick">
        <color indexed="64"/>
      </left>
      <right style="thick">
        <color theme="0"/>
      </right>
      <top style="medium">
        <color theme="0"/>
      </top>
      <bottom style="thick">
        <color theme="0"/>
      </bottom>
      <diagonal/>
    </border>
    <border>
      <left style="thick">
        <color theme="0"/>
      </left>
      <right style="thick">
        <color indexed="64"/>
      </right>
      <top style="medium">
        <color theme="0"/>
      </top>
      <bottom style="thick">
        <color theme="0"/>
      </bottom>
      <diagonal/>
    </border>
    <border>
      <left style="thick">
        <color indexed="64"/>
      </left>
      <right style="thick">
        <color theme="0"/>
      </right>
      <top style="thick">
        <color theme="0"/>
      </top>
      <bottom style="thick">
        <color theme="0"/>
      </bottom>
      <diagonal/>
    </border>
    <border>
      <left style="thick">
        <color theme="0"/>
      </left>
      <right style="thick">
        <color indexed="64"/>
      </right>
      <top style="thick">
        <color theme="0"/>
      </top>
      <bottom style="thick">
        <color theme="0"/>
      </bottom>
      <diagonal/>
    </border>
    <border>
      <left style="thick">
        <color indexed="64"/>
      </left>
      <right style="thick">
        <color theme="0"/>
      </right>
      <top style="thick">
        <color theme="0"/>
      </top>
      <bottom style="thin">
        <color indexed="64"/>
      </bottom>
      <diagonal/>
    </border>
    <border>
      <left style="thick">
        <color theme="0"/>
      </left>
      <right style="thick">
        <color indexed="64"/>
      </right>
      <top style="thick">
        <color theme="0"/>
      </top>
      <bottom style="thin">
        <color indexed="64"/>
      </bottom>
      <diagonal/>
    </border>
    <border>
      <left style="thick">
        <color theme="0"/>
      </left>
      <right style="thick">
        <color indexed="64"/>
      </right>
      <top/>
      <bottom style="thick">
        <color theme="0"/>
      </bottom>
      <diagonal/>
    </border>
    <border>
      <left style="thick">
        <color theme="0"/>
      </left>
      <right style="thick">
        <color indexed="64"/>
      </right>
      <top style="thick">
        <color theme="0"/>
      </top>
      <bottom/>
      <diagonal/>
    </border>
    <border>
      <left style="thick">
        <color indexed="64"/>
      </left>
      <right style="thick">
        <color theme="0"/>
      </right>
      <top/>
      <bottom style="thick">
        <color theme="0"/>
      </bottom>
      <diagonal/>
    </border>
    <border>
      <left style="thick">
        <color indexed="64"/>
      </left>
      <right/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ck">
        <color theme="0"/>
      </right>
      <top/>
      <bottom/>
      <diagonal/>
    </border>
    <border>
      <left style="thick">
        <color theme="0"/>
      </left>
      <right style="thick">
        <color indexed="64"/>
      </right>
      <top/>
      <bottom/>
      <diagonal/>
    </border>
    <border>
      <left style="thick">
        <color theme="0"/>
      </left>
      <right style="thick">
        <color indexed="64"/>
      </right>
      <top style="thin">
        <color indexed="64"/>
      </top>
      <bottom/>
      <diagonal/>
    </border>
    <border>
      <left style="thick">
        <color indexed="64"/>
      </left>
      <right style="thick">
        <color theme="0"/>
      </right>
      <top style="thin">
        <color theme="0"/>
      </top>
      <bottom style="thin">
        <color theme="0"/>
      </bottom>
      <diagonal/>
    </border>
    <border>
      <left style="thick">
        <color indexed="64"/>
      </left>
      <right/>
      <top style="thin">
        <color indexed="64"/>
      </top>
      <bottom/>
      <diagonal/>
    </border>
    <border>
      <left style="thick">
        <color indexed="64"/>
      </left>
      <right style="thick">
        <color theme="0"/>
      </right>
      <top style="thin">
        <color indexed="64"/>
      </top>
      <bottom/>
      <diagonal/>
    </border>
    <border>
      <left style="thin">
        <color indexed="64"/>
      </left>
      <right style="thick">
        <color indexed="64"/>
      </right>
      <top style="thin">
        <color indexed="64"/>
      </top>
      <bottom style="mediumDashed">
        <color indexed="64"/>
      </bottom>
      <diagonal/>
    </border>
    <border>
      <left style="thick">
        <color indexed="64"/>
      </left>
      <right/>
      <top style="mediumDashed">
        <color auto="1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mediumDashed">
        <color auto="1"/>
      </top>
      <bottom style="thin">
        <color indexed="64"/>
      </bottom>
      <diagonal/>
    </border>
    <border>
      <left style="thick">
        <color indexed="64"/>
      </left>
      <right/>
      <top/>
      <bottom style="thin">
        <color indexed="64"/>
      </bottom>
      <diagonal/>
    </border>
    <border>
      <left style="thick">
        <color theme="0"/>
      </left>
      <right style="thick">
        <color indexed="64"/>
      </right>
      <top style="thin">
        <color theme="0"/>
      </top>
      <bottom style="thin">
        <color theme="0"/>
      </bottom>
      <diagonal/>
    </border>
    <border>
      <left style="thick">
        <color indexed="64"/>
      </left>
      <right style="thick">
        <color theme="0"/>
      </right>
      <top/>
      <bottom style="thin">
        <color indexed="64"/>
      </bottom>
      <diagonal/>
    </border>
    <border>
      <left style="thick">
        <color theme="0"/>
      </left>
      <right style="thick">
        <color indexed="64"/>
      </right>
      <top/>
      <bottom style="thin">
        <color indexed="64"/>
      </bottom>
      <diagonal/>
    </border>
    <border>
      <left style="thick">
        <color indexed="64"/>
      </left>
      <right style="thick">
        <color theme="0"/>
      </right>
      <top style="thin">
        <color theme="0"/>
      </top>
      <bottom/>
      <diagonal/>
    </border>
    <border>
      <left style="thick">
        <color theme="0"/>
      </left>
      <right style="thick">
        <color indexed="64"/>
      </right>
      <top style="thin">
        <color theme="0"/>
      </top>
      <bottom/>
      <diagonal/>
    </border>
    <border>
      <left style="thick">
        <color indexed="64"/>
      </left>
      <right style="thick">
        <color theme="0"/>
      </right>
      <top style="thin">
        <color indexed="64"/>
      </top>
      <bottom style="thick">
        <color theme="0"/>
      </bottom>
      <diagonal/>
    </border>
    <border>
      <left style="thick">
        <color theme="0"/>
      </left>
      <right style="thick">
        <color indexed="64"/>
      </right>
      <top style="thin">
        <color indexed="64"/>
      </top>
      <bottom style="thick">
        <color theme="0"/>
      </bottom>
      <diagonal/>
    </border>
    <border>
      <left style="thick">
        <color indexed="64"/>
      </left>
      <right style="thick">
        <color theme="0"/>
      </right>
      <top style="thick">
        <color theme="0"/>
      </top>
      <bottom/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/>
      <bottom style="mediumDashed">
        <color indexed="64"/>
      </bottom>
      <diagonal/>
    </border>
    <border>
      <left style="thick">
        <color indexed="64"/>
      </left>
      <right style="thick">
        <color theme="0"/>
      </right>
      <top style="thick">
        <color theme="0"/>
      </top>
      <bottom style="thick">
        <color indexed="64"/>
      </bottom>
      <diagonal/>
    </border>
    <border>
      <left style="thick">
        <color theme="0"/>
      </left>
      <right style="thick">
        <color indexed="64"/>
      </right>
      <top style="thick">
        <color theme="0"/>
      </top>
      <bottom style="thick">
        <color indexed="64"/>
      </bottom>
      <diagonal/>
    </border>
    <border diagonalUp="1">
      <left style="thick">
        <color indexed="64"/>
      </left>
      <right style="thick">
        <color theme="0"/>
      </right>
      <top style="thin">
        <color indexed="64"/>
      </top>
      <bottom style="thin">
        <color indexed="64"/>
      </bottom>
      <diagonal style="thick">
        <color theme="0"/>
      </diagonal>
    </border>
    <border diagonalUp="1">
      <left style="thick">
        <color theme="0"/>
      </left>
      <right style="thick">
        <color indexed="64"/>
      </right>
      <top style="thin">
        <color indexed="64"/>
      </top>
      <bottom style="thin">
        <color indexed="64"/>
      </bottom>
      <diagonal style="thick">
        <color theme="0"/>
      </diagonal>
    </border>
    <border>
      <left style="thick">
        <color indexed="64"/>
      </left>
      <right style="thick">
        <color theme="0"/>
      </right>
      <top style="thick">
        <color theme="0"/>
      </top>
      <bottom style="thin">
        <color theme="0"/>
      </bottom>
      <diagonal/>
    </border>
    <border>
      <left style="thick">
        <color theme="0"/>
      </left>
      <right style="thick">
        <color indexed="64"/>
      </right>
      <top style="thick">
        <color theme="0"/>
      </top>
      <bottom style="thin">
        <color theme="0"/>
      </bottom>
      <diagonal/>
    </border>
    <border>
      <left style="thick">
        <color indexed="64"/>
      </left>
      <right style="thick">
        <color theme="0"/>
      </right>
      <top style="thin">
        <color theme="0"/>
      </top>
      <bottom style="thick">
        <color theme="0"/>
      </bottom>
      <diagonal/>
    </border>
    <border>
      <left style="thick">
        <color theme="0"/>
      </left>
      <right style="thick">
        <color indexed="64"/>
      </right>
      <top style="thin">
        <color theme="0"/>
      </top>
      <bottom style="thick">
        <color theme="0"/>
      </bottom>
      <diagonal/>
    </border>
    <border>
      <left style="thick">
        <color indexed="64"/>
      </left>
      <right style="thick">
        <color theme="0"/>
      </right>
      <top style="medium">
        <color theme="0"/>
      </top>
      <bottom/>
      <diagonal/>
    </border>
    <border>
      <left style="thick">
        <color theme="0"/>
      </left>
      <right style="thick">
        <color indexed="64"/>
      </right>
      <top style="medium">
        <color theme="0"/>
      </top>
      <bottom/>
      <diagonal/>
    </border>
    <border>
      <left style="thick">
        <color indexed="64"/>
      </left>
      <right style="thick">
        <color theme="0"/>
      </right>
      <top/>
      <bottom style="thin">
        <color theme="0"/>
      </bottom>
      <diagonal/>
    </border>
    <border>
      <left style="thick">
        <color indexed="64"/>
      </left>
      <right style="thick">
        <color theme="0"/>
      </right>
      <top style="thin">
        <color theme="0"/>
      </top>
      <bottom style="thick">
        <color indexed="64"/>
      </bottom>
      <diagonal/>
    </border>
    <border>
      <left style="thick">
        <color theme="0"/>
      </left>
      <right style="thick">
        <color indexed="64"/>
      </right>
      <top style="thin">
        <color theme="0"/>
      </top>
      <bottom style="thick">
        <color indexed="64"/>
      </bottom>
      <diagonal/>
    </border>
    <border>
      <left style="thick">
        <color auto="1"/>
      </left>
      <right style="thick">
        <color rgb="FF0000FF"/>
      </right>
      <top/>
      <bottom/>
      <diagonal/>
    </border>
    <border>
      <left style="thick">
        <color rgb="FF0000FF"/>
      </left>
      <right style="thick">
        <color rgb="FF0000FF"/>
      </right>
      <top/>
      <bottom/>
      <diagonal/>
    </border>
    <border>
      <left style="thick">
        <color rgb="FF0000FF"/>
      </left>
      <right style="thick">
        <color rgb="FF0000FF"/>
      </right>
      <top style="thin">
        <color theme="0"/>
      </top>
      <bottom style="thin">
        <color theme="0"/>
      </bottom>
      <diagonal/>
    </border>
    <border>
      <left style="thick">
        <color rgb="FF0000FF"/>
      </left>
      <right style="thick">
        <color indexed="64"/>
      </right>
      <top/>
      <bottom/>
      <diagonal/>
    </border>
    <border>
      <left style="thick">
        <color theme="0"/>
      </left>
      <right style="thick">
        <color theme="0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ck">
        <color theme="0"/>
      </right>
      <top style="thin">
        <color indexed="64"/>
      </top>
      <bottom style="thick">
        <color indexed="64"/>
      </bottom>
      <diagonal/>
    </border>
    <border>
      <left style="thick">
        <color theme="0"/>
      </left>
      <right style="thick">
        <color theme="0"/>
      </right>
      <top style="thin">
        <color indexed="64"/>
      </top>
      <bottom style="thick">
        <color indexed="64"/>
      </bottom>
      <diagonal/>
    </border>
    <border>
      <left style="thick">
        <color theme="0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 style="thick">
        <color indexed="64"/>
      </right>
      <top/>
      <bottom style="thin">
        <color indexed="64"/>
      </bottom>
      <diagonal/>
    </border>
    <border>
      <left/>
      <right style="thick">
        <color indexed="64"/>
      </right>
      <top/>
      <bottom style="thin">
        <color indexed="64"/>
      </bottom>
      <diagonal/>
    </border>
    <border>
      <left style="thick">
        <color indexed="64"/>
      </left>
      <right/>
      <top style="thin">
        <color indexed="64"/>
      </top>
      <bottom style="thick">
        <color theme="0"/>
      </bottom>
      <diagonal/>
    </border>
    <border>
      <left/>
      <right/>
      <top style="thin">
        <color indexed="64"/>
      </top>
      <bottom style="thick">
        <color theme="0"/>
      </bottom>
      <diagonal/>
    </border>
    <border>
      <left style="thick">
        <color indexed="64"/>
      </left>
      <right/>
      <top style="thick">
        <color theme="0"/>
      </top>
      <bottom style="thick">
        <color theme="0"/>
      </bottom>
      <diagonal/>
    </border>
    <border>
      <left/>
      <right/>
      <top style="thick">
        <color theme="0"/>
      </top>
      <bottom style="thick">
        <color theme="0"/>
      </bottom>
      <diagonal/>
    </border>
    <border>
      <left style="thick">
        <color indexed="64"/>
      </left>
      <right/>
      <top style="thick">
        <color theme="0"/>
      </top>
      <bottom style="thick">
        <color indexed="64"/>
      </bottom>
      <diagonal/>
    </border>
    <border>
      <left/>
      <right/>
      <top style="thick">
        <color theme="0"/>
      </top>
      <bottom style="thick">
        <color indexed="64"/>
      </bottom>
      <diagonal/>
    </border>
    <border>
      <left style="thick">
        <color theme="0"/>
      </left>
      <right style="thick">
        <color theme="0"/>
      </right>
      <top style="thin">
        <color indexed="64"/>
      </top>
      <bottom style="thick">
        <color theme="0"/>
      </bottom>
      <diagonal/>
    </border>
    <border>
      <left style="thick">
        <color theme="0"/>
      </left>
      <right style="thick">
        <color theme="0"/>
      </right>
      <top style="thick">
        <color theme="0"/>
      </top>
      <bottom style="thick">
        <color theme="0"/>
      </bottom>
      <diagonal/>
    </border>
    <border>
      <left style="thick">
        <color theme="0"/>
      </left>
      <right style="thick">
        <color theme="0"/>
      </right>
      <top style="thick">
        <color theme="0"/>
      </top>
      <bottom style="thick">
        <color indexed="64"/>
      </bottom>
      <diagonal/>
    </border>
    <border>
      <left/>
      <right style="thin">
        <color theme="0"/>
      </right>
      <top style="thin">
        <color indexed="64"/>
      </top>
      <bottom style="thick">
        <color theme="0"/>
      </bottom>
      <diagonal/>
    </border>
    <border>
      <left style="thin">
        <color theme="0"/>
      </left>
      <right style="thin">
        <color theme="0"/>
      </right>
      <top style="thin">
        <color indexed="64"/>
      </top>
      <bottom style="thick">
        <color theme="0"/>
      </bottom>
      <diagonal/>
    </border>
    <border>
      <left style="thin">
        <color theme="0"/>
      </left>
      <right style="thick">
        <color indexed="64"/>
      </right>
      <top style="thin">
        <color indexed="64"/>
      </top>
      <bottom style="thick">
        <color theme="0"/>
      </bottom>
      <diagonal/>
    </border>
    <border>
      <left/>
      <right style="thin">
        <color theme="0"/>
      </right>
      <top style="thick">
        <color theme="0"/>
      </top>
      <bottom style="thick">
        <color theme="0"/>
      </bottom>
      <diagonal/>
    </border>
    <border>
      <left style="thin">
        <color theme="0"/>
      </left>
      <right style="thin">
        <color theme="0"/>
      </right>
      <top style="thick">
        <color theme="0"/>
      </top>
      <bottom style="thick">
        <color theme="0"/>
      </bottom>
      <diagonal/>
    </border>
    <border>
      <left style="thin">
        <color theme="0"/>
      </left>
      <right style="thick">
        <color indexed="64"/>
      </right>
      <top style="thick">
        <color theme="0"/>
      </top>
      <bottom style="thick">
        <color theme="0"/>
      </bottom>
      <diagonal/>
    </border>
    <border>
      <left/>
      <right style="thin">
        <color theme="0"/>
      </right>
      <top style="thick">
        <color theme="0"/>
      </top>
      <bottom style="thick">
        <color indexed="64"/>
      </bottom>
      <diagonal/>
    </border>
    <border>
      <left style="thin">
        <color theme="0"/>
      </left>
      <right style="thin">
        <color theme="0"/>
      </right>
      <top style="thick">
        <color theme="0"/>
      </top>
      <bottom style="thick">
        <color indexed="64"/>
      </bottom>
      <diagonal/>
    </border>
    <border>
      <left style="thin">
        <color theme="0"/>
      </left>
      <right style="thick">
        <color indexed="64"/>
      </right>
      <top style="thick">
        <color theme="0"/>
      </top>
      <bottom style="thick">
        <color indexed="64"/>
      </bottom>
      <diagonal/>
    </border>
    <border diagonalUp="1">
      <left style="thick">
        <color theme="0"/>
      </left>
      <right style="thick">
        <color theme="0"/>
      </right>
      <top style="thin">
        <color indexed="64"/>
      </top>
      <bottom style="thin">
        <color indexed="64"/>
      </bottom>
      <diagonal style="thick">
        <color theme="0"/>
      </diagonal>
    </border>
    <border>
      <left style="thick">
        <color theme="0"/>
      </left>
      <right style="thick">
        <color theme="0"/>
      </right>
      <top style="thick">
        <color theme="0"/>
      </top>
      <bottom style="thin">
        <color indexed="64"/>
      </bottom>
      <diagonal/>
    </border>
    <border>
      <left style="thick">
        <color theme="0"/>
      </left>
      <right style="thick">
        <color theme="0"/>
      </right>
      <top style="thin">
        <color indexed="64"/>
      </top>
      <bottom style="thin">
        <color theme="0"/>
      </bottom>
      <diagonal/>
    </border>
    <border>
      <left style="thick">
        <color theme="0"/>
      </left>
      <right style="thick">
        <color theme="0"/>
      </right>
      <top style="thin">
        <color theme="0"/>
      </top>
      <bottom style="thin">
        <color indexed="64"/>
      </bottom>
      <diagonal/>
    </border>
    <border>
      <left style="medium">
        <color theme="0"/>
      </left>
      <right/>
      <top/>
      <bottom/>
      <diagonal/>
    </border>
    <border>
      <left style="medium">
        <color theme="0"/>
      </left>
      <right/>
      <top/>
      <bottom style="medium">
        <color theme="0"/>
      </bottom>
      <diagonal/>
    </border>
    <border>
      <left style="thick">
        <color indexed="64"/>
      </left>
      <right style="thin">
        <color indexed="64"/>
      </right>
      <top/>
      <bottom/>
      <diagonal/>
    </border>
    <border>
      <left style="thick">
        <color indexed="64"/>
      </left>
      <right style="thin">
        <color indexed="64"/>
      </right>
      <top/>
      <bottom style="thin">
        <color indexed="64"/>
      </bottom>
      <diagonal/>
    </border>
    <border>
      <left style="thick">
        <color indexed="64"/>
      </left>
      <right style="thick">
        <color indexed="64"/>
      </right>
      <top style="medium">
        <color theme="0"/>
      </top>
      <bottom style="thin">
        <color theme="0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medium">
        <color auto="1"/>
      </bottom>
      <diagonal/>
    </border>
    <border>
      <left style="thick">
        <color auto="1"/>
      </left>
      <right style="medium">
        <color auto="1"/>
      </right>
      <top style="thick">
        <color auto="1"/>
      </top>
      <bottom style="medium">
        <color auto="1"/>
      </bottom>
      <diagonal/>
    </border>
    <border>
      <left style="thick">
        <color auto="1"/>
      </left>
      <right style="thick">
        <color auto="1"/>
      </right>
      <top style="medium">
        <color auto="1"/>
      </top>
      <bottom style="thick">
        <color auto="1"/>
      </bottom>
      <diagonal/>
    </border>
    <border>
      <left style="medium">
        <color auto="1"/>
      </left>
      <right/>
      <top style="thick">
        <color auto="1"/>
      </top>
      <bottom style="medium">
        <color auto="1"/>
      </bottom>
      <diagonal/>
    </border>
    <border>
      <left style="thick">
        <color auto="1"/>
      </left>
      <right/>
      <top style="medium">
        <color auto="1"/>
      </top>
      <bottom style="thin">
        <color auto="1"/>
      </bottom>
      <diagonal/>
    </border>
    <border>
      <left style="thick">
        <color auto="1"/>
      </left>
      <right/>
      <top style="thin">
        <color auto="1"/>
      </top>
      <bottom style="thick">
        <color auto="1"/>
      </bottom>
      <diagonal/>
    </border>
    <border>
      <left style="medium">
        <color auto="1"/>
      </left>
      <right style="thick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ck">
        <color auto="1"/>
      </right>
      <top style="thin">
        <color auto="1"/>
      </top>
      <bottom style="thick">
        <color auto="1"/>
      </bottom>
      <diagonal/>
    </border>
    <border>
      <left/>
      <right/>
      <top style="thick">
        <color auto="1"/>
      </top>
      <bottom style="thin">
        <color auto="1"/>
      </bottom>
      <diagonal/>
    </border>
    <border>
      <left style="medium">
        <color auto="1"/>
      </left>
      <right style="thick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ck">
        <color indexed="64"/>
      </right>
      <top style="medium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811">
    <xf numFmtId="0" fontId="0" fillId="0" borderId="0" xfId="0"/>
    <xf numFmtId="0" fontId="0" fillId="0" borderId="0" xfId="0" applyAlignment="1">
      <alignment horizontal="center" vertical="center"/>
    </xf>
    <xf numFmtId="0" fontId="11" fillId="0" borderId="0" xfId="0" applyFont="1" applyFill="1"/>
    <xf numFmtId="0" fontId="0" fillId="0" borderId="0" xfId="0" applyFill="1"/>
    <xf numFmtId="0" fontId="0" fillId="0" borderId="0" xfId="0" applyFill="1" applyAlignment="1">
      <alignment horizontal="center" vertical="center"/>
    </xf>
    <xf numFmtId="0" fontId="12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0" fontId="6" fillId="0" borderId="0" xfId="0" applyFont="1" applyAlignment="1">
      <alignment horizontal="center" vertical="center"/>
    </xf>
    <xf numFmtId="0" fontId="10" fillId="0" borderId="0" xfId="0" applyFont="1" applyFill="1"/>
    <xf numFmtId="0" fontId="10" fillId="0" borderId="0" xfId="0" applyFont="1" applyFill="1" applyBorder="1"/>
    <xf numFmtId="0" fontId="7" fillId="0" borderId="0" xfId="0" applyFont="1" applyAlignment="1">
      <alignment vertical="center"/>
    </xf>
    <xf numFmtId="0" fontId="14" fillId="0" borderId="0" xfId="0" applyFont="1" applyBorder="1"/>
    <xf numFmtId="0" fontId="11" fillId="0" borderId="0" xfId="0" applyFont="1" applyFill="1" applyBorder="1" applyAlignment="1">
      <alignment vertical="center"/>
    </xf>
    <xf numFmtId="0" fontId="1" fillId="0" borderId="0" xfId="0" applyFont="1" applyFill="1" applyBorder="1" applyAlignment="1">
      <alignment vertical="center"/>
    </xf>
    <xf numFmtId="0" fontId="10" fillId="0" borderId="0" xfId="0" applyFont="1" applyFill="1" applyBorder="1" applyAlignment="1">
      <alignment vertical="center"/>
    </xf>
    <xf numFmtId="0" fontId="13" fillId="0" borderId="0" xfId="0" applyFont="1" applyFill="1" applyBorder="1" applyAlignment="1">
      <alignment vertical="center"/>
    </xf>
    <xf numFmtId="0" fontId="0" fillId="0" borderId="0" xfId="0" applyFill="1" applyAlignment="1">
      <alignment vertical="center"/>
    </xf>
    <xf numFmtId="0" fontId="11" fillId="0" borderId="0" xfId="0" applyFont="1" applyFill="1" applyAlignment="1">
      <alignment vertical="center"/>
    </xf>
    <xf numFmtId="0" fontId="4" fillId="5" borderId="5" xfId="0" applyFont="1" applyFill="1" applyBorder="1" applyAlignment="1">
      <alignment vertical="center" wrapText="1"/>
    </xf>
    <xf numFmtId="0" fontId="0" fillId="0" borderId="0" xfId="0" applyAlignment="1">
      <alignment horizontal="left" vertical="center"/>
    </xf>
    <xf numFmtId="0" fontId="0" fillId="0" borderId="0" xfId="0" applyAlignment="1">
      <alignment horizontal="left" vertical="top"/>
    </xf>
    <xf numFmtId="0" fontId="4" fillId="5" borderId="5" xfId="0" applyFont="1" applyFill="1" applyBorder="1" applyAlignment="1">
      <alignment horizontal="left" vertical="top" wrapText="1"/>
    </xf>
    <xf numFmtId="0" fontId="24" fillId="0" borderId="0" xfId="0" applyFont="1" applyAlignment="1">
      <alignment horizontal="center" vertical="center"/>
    </xf>
    <xf numFmtId="0" fontId="24" fillId="0" borderId="0" xfId="0" applyFont="1" applyFill="1" applyAlignment="1">
      <alignment horizontal="center"/>
    </xf>
    <xf numFmtId="0" fontId="24" fillId="0" borderId="0" xfId="0" applyFont="1" applyAlignment="1">
      <alignment horizontal="center"/>
    </xf>
    <xf numFmtId="0" fontId="26" fillId="0" borderId="0" xfId="0" applyFont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4" fillId="5" borderId="0" xfId="0" applyFont="1" applyFill="1" applyBorder="1" applyAlignment="1">
      <alignment horizontal="left" vertical="center" wrapText="1"/>
    </xf>
    <xf numFmtId="0" fontId="0" fillId="0" borderId="0" xfId="0" applyFill="1" applyBorder="1" applyAlignment="1">
      <alignment horizontal="center" vertical="center"/>
    </xf>
    <xf numFmtId="0" fontId="0" fillId="15" borderId="0" xfId="0" applyFill="1" applyBorder="1" applyAlignment="1">
      <alignment horizontal="center" vertical="center"/>
    </xf>
    <xf numFmtId="0" fontId="4" fillId="4" borderId="0" xfId="0" applyFont="1" applyFill="1" applyBorder="1" applyAlignment="1">
      <alignment horizontal="left" vertical="center" wrapText="1"/>
    </xf>
    <xf numFmtId="0" fontId="4" fillId="3" borderId="0" xfId="0" applyFont="1" applyFill="1" applyBorder="1" applyAlignment="1">
      <alignment horizontal="left" vertical="center" wrapText="1"/>
    </xf>
    <xf numFmtId="0" fontId="4" fillId="2" borderId="0" xfId="0" applyFont="1" applyFill="1" applyBorder="1" applyAlignment="1">
      <alignment vertical="center" wrapText="1"/>
    </xf>
    <xf numFmtId="0" fontId="4" fillId="5" borderId="0" xfId="0" applyFont="1" applyFill="1" applyBorder="1" applyAlignment="1">
      <alignment vertical="center" wrapText="1"/>
    </xf>
    <xf numFmtId="0" fontId="29" fillId="0" borderId="0" xfId="0" applyFont="1" applyFill="1" applyBorder="1" applyAlignment="1">
      <alignment horizontal="center" vertical="center"/>
    </xf>
    <xf numFmtId="0" fontId="30" fillId="0" borderId="0" xfId="0" applyFont="1" applyFill="1" applyBorder="1" applyAlignment="1">
      <alignment horizontal="center" vertical="center"/>
    </xf>
    <xf numFmtId="0" fontId="24" fillId="0" borderId="0" xfId="0" applyFont="1" applyBorder="1" applyAlignment="1">
      <alignment horizontal="center" vertical="center"/>
    </xf>
    <xf numFmtId="0" fontId="4" fillId="5" borderId="11" xfId="0" applyFont="1" applyFill="1" applyBorder="1" applyAlignment="1">
      <alignment vertical="center" wrapText="1"/>
    </xf>
    <xf numFmtId="0" fontId="4" fillId="15" borderId="5" xfId="0" applyFont="1" applyFill="1" applyBorder="1" applyAlignment="1">
      <alignment vertical="center" wrapText="1"/>
    </xf>
    <xf numFmtId="0" fontId="25" fillId="5" borderId="16" xfId="0" applyFont="1" applyFill="1" applyBorder="1" applyAlignment="1">
      <alignment horizontal="center" vertical="center" wrapText="1"/>
    </xf>
    <xf numFmtId="0" fontId="3" fillId="5" borderId="17" xfId="0" applyFont="1" applyFill="1" applyBorder="1" applyAlignment="1">
      <alignment horizontal="center" vertical="center" wrapText="1"/>
    </xf>
    <xf numFmtId="0" fontId="3" fillId="5" borderId="18" xfId="0" applyFont="1" applyFill="1" applyBorder="1" applyAlignment="1">
      <alignment horizontal="center" vertical="center" wrapText="1"/>
    </xf>
    <xf numFmtId="0" fontId="4" fillId="3" borderId="2" xfId="0" applyFont="1" applyFill="1" applyBorder="1" applyAlignment="1">
      <alignment horizontal="left" vertical="center" wrapText="1"/>
    </xf>
    <xf numFmtId="0" fontId="4" fillId="17" borderId="0" xfId="0" applyFont="1" applyFill="1" applyBorder="1" applyAlignment="1">
      <alignment horizontal="left" vertical="center" wrapText="1"/>
    </xf>
    <xf numFmtId="0" fontId="4" fillId="3" borderId="7" xfId="0" applyFont="1" applyFill="1" applyBorder="1" applyAlignment="1">
      <alignment horizontal="left" vertical="center" wrapText="1"/>
    </xf>
    <xf numFmtId="0" fontId="4" fillId="3" borderId="7" xfId="0" applyFont="1" applyFill="1" applyBorder="1" applyAlignment="1">
      <alignment vertical="center" wrapText="1"/>
    </xf>
    <xf numFmtId="0" fontId="4" fillId="3" borderId="2" xfId="0" applyFont="1" applyFill="1" applyBorder="1" applyAlignment="1">
      <alignment vertical="center" wrapText="1"/>
    </xf>
    <xf numFmtId="0" fontId="25" fillId="3" borderId="17" xfId="0" applyFont="1" applyFill="1" applyBorder="1" applyAlignment="1">
      <alignment horizontal="center" vertical="center" wrapText="1"/>
    </xf>
    <xf numFmtId="0" fontId="3" fillId="3" borderId="17" xfId="0" applyFont="1" applyFill="1" applyBorder="1" applyAlignment="1">
      <alignment horizontal="center" vertical="center" wrapText="1"/>
    </xf>
    <xf numFmtId="0" fontId="25" fillId="3" borderId="17" xfId="0" applyFont="1" applyFill="1" applyBorder="1" applyAlignment="1">
      <alignment vertical="center" wrapText="1"/>
    </xf>
    <xf numFmtId="0" fontId="4" fillId="4" borderId="2" xfId="0" applyFont="1" applyFill="1" applyBorder="1" applyAlignment="1">
      <alignment horizontal="left" vertical="center" wrapText="1"/>
    </xf>
    <xf numFmtId="0" fontId="4" fillId="13" borderId="0" xfId="0" applyFont="1" applyFill="1" applyBorder="1" applyAlignment="1">
      <alignment horizontal="left" vertical="center" wrapText="1"/>
    </xf>
    <xf numFmtId="0" fontId="4" fillId="4" borderId="7" xfId="0" applyFont="1" applyFill="1" applyBorder="1" applyAlignment="1">
      <alignment horizontal="left" vertical="center" wrapText="1"/>
    </xf>
    <xf numFmtId="0" fontId="4" fillId="7" borderId="2" xfId="0" applyFont="1" applyFill="1" applyBorder="1" applyAlignment="1">
      <alignment vertical="center" wrapText="1"/>
    </xf>
    <xf numFmtId="0" fontId="4" fillId="7" borderId="0" xfId="0" applyFont="1" applyFill="1" applyBorder="1" applyAlignment="1">
      <alignment vertical="center" wrapText="1"/>
    </xf>
    <xf numFmtId="0" fontId="16" fillId="4" borderId="0" xfId="0" applyFont="1" applyFill="1" applyBorder="1" applyAlignment="1">
      <alignment horizontal="left" vertical="center" wrapText="1"/>
    </xf>
    <xf numFmtId="0" fontId="4" fillId="4" borderId="1" xfId="0" applyFont="1" applyFill="1" applyBorder="1" applyAlignment="1">
      <alignment horizontal="left" vertical="center" wrapText="1"/>
    </xf>
    <xf numFmtId="0" fontId="4" fillId="4" borderId="0" xfId="0" applyFont="1" applyFill="1" applyBorder="1" applyAlignment="1">
      <alignment vertical="center" wrapText="1"/>
    </xf>
    <xf numFmtId="0" fontId="4" fillId="4" borderId="7" xfId="0" applyFont="1" applyFill="1" applyBorder="1" applyAlignment="1">
      <alignment vertical="center" wrapText="1"/>
    </xf>
    <xf numFmtId="0" fontId="25" fillId="4" borderId="17" xfId="0" applyFont="1" applyFill="1" applyBorder="1" applyAlignment="1">
      <alignment horizontal="center" vertical="center" wrapText="1"/>
    </xf>
    <xf numFmtId="0" fontId="3" fillId="4" borderId="17" xfId="0" applyFont="1" applyFill="1" applyBorder="1" applyAlignment="1">
      <alignment horizontal="center" vertical="center" wrapText="1"/>
    </xf>
    <xf numFmtId="0" fontId="2" fillId="4" borderId="17" xfId="0" applyFont="1" applyFill="1" applyBorder="1" applyAlignment="1">
      <alignment horizontal="center" vertical="center" wrapText="1"/>
    </xf>
    <xf numFmtId="0" fontId="25" fillId="7" borderId="17" xfId="0" applyFont="1" applyFill="1" applyBorder="1" applyAlignment="1">
      <alignment horizontal="center" vertical="center" wrapText="1"/>
    </xf>
    <xf numFmtId="0" fontId="3" fillId="7" borderId="17" xfId="0" applyFont="1" applyFill="1" applyBorder="1" applyAlignment="1">
      <alignment horizontal="center" vertical="center" wrapText="1"/>
    </xf>
    <xf numFmtId="0" fontId="4" fillId="5" borderId="2" xfId="0" applyFont="1" applyFill="1" applyBorder="1" applyAlignment="1">
      <alignment horizontal="left" vertical="center" wrapText="1"/>
    </xf>
    <xf numFmtId="0" fontId="4" fillId="15" borderId="0" xfId="0" applyFont="1" applyFill="1" applyBorder="1" applyAlignment="1">
      <alignment horizontal="left" vertical="center" wrapText="1"/>
    </xf>
    <xf numFmtId="0" fontId="4" fillId="5" borderId="7" xfId="0" applyFont="1" applyFill="1" applyBorder="1" applyAlignment="1">
      <alignment horizontal="left" vertical="center" wrapText="1"/>
    </xf>
    <xf numFmtId="0" fontId="8" fillId="14" borderId="1" xfId="0" applyFont="1" applyFill="1" applyBorder="1" applyAlignment="1">
      <alignment horizontal="left" vertical="center" wrapText="1"/>
    </xf>
    <xf numFmtId="0" fontId="4" fillId="5" borderId="7" xfId="0" applyFont="1" applyFill="1" applyBorder="1" applyAlignment="1">
      <alignment vertical="center" wrapText="1"/>
    </xf>
    <xf numFmtId="0" fontId="8" fillId="14" borderId="7" xfId="0" applyFont="1" applyFill="1" applyBorder="1" applyAlignment="1">
      <alignment horizontal="left" vertical="center" wrapText="1"/>
    </xf>
    <xf numFmtId="0" fontId="4" fillId="5" borderId="2" xfId="0" applyFont="1" applyFill="1" applyBorder="1" applyAlignment="1">
      <alignment vertical="center" wrapText="1"/>
    </xf>
    <xf numFmtId="0" fontId="22" fillId="5" borderId="0" xfId="0" applyFont="1" applyFill="1" applyBorder="1" applyAlignment="1">
      <alignment vertical="center" wrapText="1"/>
    </xf>
    <xf numFmtId="0" fontId="8" fillId="5" borderId="0" xfId="0" applyFont="1" applyFill="1" applyBorder="1" applyAlignment="1">
      <alignment vertical="center" wrapText="1"/>
    </xf>
    <xf numFmtId="0" fontId="8" fillId="5" borderId="9" xfId="0" applyFont="1" applyFill="1" applyBorder="1" applyAlignment="1">
      <alignment vertical="center" wrapText="1"/>
    </xf>
    <xf numFmtId="0" fontId="8" fillId="5" borderId="7" xfId="0" applyFont="1" applyFill="1" applyBorder="1" applyAlignment="1">
      <alignment vertical="center" wrapText="1"/>
    </xf>
    <xf numFmtId="0" fontId="8" fillId="14" borderId="2" xfId="0" applyFont="1" applyFill="1" applyBorder="1" applyAlignment="1">
      <alignment horizontal="left" vertical="center" wrapText="1"/>
    </xf>
    <xf numFmtId="0" fontId="25" fillId="5" borderId="17" xfId="0" applyFont="1" applyFill="1" applyBorder="1" applyAlignment="1">
      <alignment horizontal="center" vertical="center" wrapText="1"/>
    </xf>
    <xf numFmtId="0" fontId="23" fillId="14" borderId="17" xfId="0" applyFont="1" applyFill="1" applyBorder="1" applyAlignment="1">
      <alignment horizontal="center" vertical="center" wrapText="1"/>
    </xf>
    <xf numFmtId="0" fontId="25" fillId="5" borderId="17" xfId="0" applyFont="1" applyFill="1" applyBorder="1" applyAlignment="1">
      <alignment vertical="center" wrapText="1"/>
    </xf>
    <xf numFmtId="0" fontId="0" fillId="15" borderId="17" xfId="0" applyFill="1" applyBorder="1" applyAlignment="1">
      <alignment horizontal="center" vertical="center"/>
    </xf>
    <xf numFmtId="0" fontId="4" fillId="2" borderId="2" xfId="0" applyFont="1" applyFill="1" applyBorder="1" applyAlignment="1">
      <alignment vertical="center" wrapText="1"/>
    </xf>
    <xf numFmtId="0" fontId="4" fillId="12" borderId="0" xfId="0" applyFont="1" applyFill="1" applyBorder="1" applyAlignment="1">
      <alignment vertical="center" wrapText="1"/>
    </xf>
    <xf numFmtId="0" fontId="4" fillId="2" borderId="7" xfId="0" applyFont="1" applyFill="1" applyBorder="1" applyAlignment="1">
      <alignment vertical="center" wrapText="1"/>
    </xf>
    <xf numFmtId="0" fontId="0" fillId="12" borderId="0" xfId="0" applyFill="1" applyBorder="1" applyAlignment="1">
      <alignment horizontal="center" vertical="center"/>
    </xf>
    <xf numFmtId="0" fontId="4" fillId="12" borderId="7" xfId="0" applyFont="1" applyFill="1" applyBorder="1" applyAlignment="1">
      <alignment vertical="center" wrapText="1"/>
    </xf>
    <xf numFmtId="0" fontId="8" fillId="2" borderId="19" xfId="0" applyFont="1" applyFill="1" applyBorder="1" applyAlignment="1">
      <alignment vertical="center" wrapText="1"/>
    </xf>
    <xf numFmtId="0" fontId="8" fillId="2" borderId="7" xfId="0" applyFont="1" applyFill="1" applyBorder="1" applyAlignment="1">
      <alignment vertical="center" wrapText="1"/>
    </xf>
    <xf numFmtId="0" fontId="4" fillId="2" borderId="2" xfId="0" applyFont="1" applyFill="1" applyBorder="1" applyAlignment="1">
      <alignment horizontal="left" vertical="center" wrapText="1"/>
    </xf>
    <xf numFmtId="0" fontId="0" fillId="12" borderId="7" xfId="0" applyFill="1" applyBorder="1" applyAlignment="1">
      <alignment horizontal="center" vertical="center"/>
    </xf>
    <xf numFmtId="0" fontId="29" fillId="11" borderId="7" xfId="0" applyFont="1" applyFill="1" applyBorder="1" applyAlignment="1">
      <alignment horizontal="left" vertical="center" wrapText="1"/>
    </xf>
    <xf numFmtId="0" fontId="0" fillId="12" borderId="9" xfId="0" applyFill="1" applyBorder="1" applyAlignment="1">
      <alignment horizontal="center" vertical="center"/>
    </xf>
    <xf numFmtId="0" fontId="25" fillId="2" borderId="17" xfId="0" applyFont="1" applyFill="1" applyBorder="1" applyAlignment="1">
      <alignment vertical="center" wrapText="1"/>
    </xf>
    <xf numFmtId="0" fontId="3" fillId="2" borderId="17" xfId="0" applyFont="1" applyFill="1" applyBorder="1" applyAlignment="1">
      <alignment vertical="center" wrapText="1"/>
    </xf>
    <xf numFmtId="0" fontId="0" fillId="12" borderId="17" xfId="0" applyFill="1" applyBorder="1" applyAlignment="1">
      <alignment horizontal="center" vertical="center"/>
    </xf>
    <xf numFmtId="0" fontId="3" fillId="2" borderId="17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vertical="center" wrapText="1"/>
    </xf>
    <xf numFmtId="0" fontId="0" fillId="13" borderId="17" xfId="0" applyFill="1" applyBorder="1" applyAlignment="1">
      <alignment horizontal="center" vertical="center"/>
    </xf>
    <xf numFmtId="0" fontId="25" fillId="4" borderId="17" xfId="0" applyFont="1" applyFill="1" applyBorder="1" applyAlignment="1">
      <alignment vertical="center" wrapText="1"/>
    </xf>
    <xf numFmtId="0" fontId="18" fillId="14" borderId="1" xfId="0" applyFont="1" applyFill="1" applyBorder="1" applyAlignment="1">
      <alignment horizontal="left" vertical="center" wrapText="1"/>
    </xf>
    <xf numFmtId="0" fontId="37" fillId="18" borderId="23" xfId="0" quotePrefix="1" applyFont="1" applyFill="1" applyBorder="1" applyAlignment="1">
      <alignment horizontal="center" vertical="center"/>
    </xf>
    <xf numFmtId="0" fontId="34" fillId="18" borderId="24" xfId="0" applyFont="1" applyFill="1" applyBorder="1" applyAlignment="1">
      <alignment horizontal="left" vertical="center"/>
    </xf>
    <xf numFmtId="0" fontId="38" fillId="18" borderId="23" xfId="0" quotePrefix="1" applyFont="1" applyFill="1" applyBorder="1" applyAlignment="1">
      <alignment horizontal="center" vertical="center"/>
    </xf>
    <xf numFmtId="0" fontId="37" fillId="15" borderId="23" xfId="0" quotePrefix="1" applyFont="1" applyFill="1" applyBorder="1" applyAlignment="1">
      <alignment horizontal="center" vertical="center"/>
    </xf>
    <xf numFmtId="0" fontId="37" fillId="12" borderId="23" xfId="0" quotePrefix="1" applyFont="1" applyFill="1" applyBorder="1" applyAlignment="1">
      <alignment horizontal="center" vertical="center"/>
    </xf>
    <xf numFmtId="0" fontId="34" fillId="12" borderId="24" xfId="0" applyFont="1" applyFill="1" applyBorder="1" applyAlignment="1">
      <alignment horizontal="left" vertical="center"/>
    </xf>
    <xf numFmtId="0" fontId="38" fillId="12" borderId="23" xfId="0" quotePrefix="1" applyFont="1" applyFill="1" applyBorder="1" applyAlignment="1">
      <alignment horizontal="center" vertical="center"/>
    </xf>
    <xf numFmtId="0" fontId="37" fillId="17" borderId="23" xfId="0" quotePrefix="1" applyFont="1" applyFill="1" applyBorder="1" applyAlignment="1">
      <alignment horizontal="center" vertical="center"/>
    </xf>
    <xf numFmtId="0" fontId="34" fillId="17" borderId="24" xfId="0" applyFont="1" applyFill="1" applyBorder="1" applyAlignment="1">
      <alignment horizontal="left" vertical="center"/>
    </xf>
    <xf numFmtId="0" fontId="38" fillId="17" borderId="23" xfId="0" quotePrefix="1" applyFont="1" applyFill="1" applyBorder="1" applyAlignment="1">
      <alignment horizontal="center" vertical="center"/>
    </xf>
    <xf numFmtId="0" fontId="34" fillId="17" borderId="24" xfId="0" applyFont="1" applyFill="1" applyBorder="1" applyAlignment="1">
      <alignment horizontal="left" vertical="center" wrapText="1"/>
    </xf>
    <xf numFmtId="0" fontId="3" fillId="15" borderId="17" xfId="0" applyFont="1" applyFill="1" applyBorder="1" applyAlignment="1">
      <alignment horizontal="center" vertical="center" wrapText="1"/>
    </xf>
    <xf numFmtId="0" fontId="34" fillId="15" borderId="24" xfId="0" applyFont="1" applyFill="1" applyBorder="1" applyAlignment="1">
      <alignment horizontal="left" vertical="center" wrapText="1"/>
    </xf>
    <xf numFmtId="0" fontId="38" fillId="15" borderId="23" xfId="0" quotePrefix="1" applyFont="1" applyFill="1" applyBorder="1" applyAlignment="1">
      <alignment horizontal="center" vertical="center"/>
    </xf>
    <xf numFmtId="0" fontId="37" fillId="0" borderId="26" xfId="0" applyFont="1" applyFill="1" applyBorder="1" applyAlignment="1">
      <alignment horizontal="center" vertical="center"/>
    </xf>
    <xf numFmtId="0" fontId="34" fillId="0" borderId="27" xfId="0" applyFont="1" applyFill="1" applyBorder="1" applyAlignment="1">
      <alignment horizontal="left" vertical="center" wrapText="1"/>
    </xf>
    <xf numFmtId="0" fontId="37" fillId="0" borderId="28" xfId="0" applyFont="1" applyFill="1" applyBorder="1" applyAlignment="1">
      <alignment horizontal="center" vertical="center"/>
    </xf>
    <xf numFmtId="0" fontId="34" fillId="0" borderId="29" xfId="0" applyFont="1" applyFill="1" applyBorder="1" applyAlignment="1">
      <alignment horizontal="left" vertical="center" wrapText="1"/>
    </xf>
    <xf numFmtId="0" fontId="37" fillId="0" borderId="30" xfId="0" applyFont="1" applyFill="1" applyBorder="1" applyAlignment="1">
      <alignment horizontal="center" vertical="center"/>
    </xf>
    <xf numFmtId="0" fontId="34" fillId="0" borderId="31" xfId="0" applyFont="1" applyFill="1" applyBorder="1" applyAlignment="1">
      <alignment horizontal="left" vertical="center" wrapText="1"/>
    </xf>
    <xf numFmtId="0" fontId="34" fillId="6" borderId="27" xfId="0" applyFont="1" applyFill="1" applyBorder="1" applyAlignment="1">
      <alignment horizontal="left" vertical="center" wrapText="1"/>
    </xf>
    <xf numFmtId="0" fontId="34" fillId="6" borderId="29" xfId="0" applyFont="1" applyFill="1" applyBorder="1" applyAlignment="1">
      <alignment horizontal="left" vertical="center" wrapText="1"/>
    </xf>
    <xf numFmtId="0" fontId="34" fillId="6" borderId="31" xfId="0" applyFont="1" applyFill="1" applyBorder="1" applyAlignment="1">
      <alignment horizontal="left" vertical="center" wrapText="1"/>
    </xf>
    <xf numFmtId="0" fontId="39" fillId="11" borderId="6" xfId="0" applyFont="1" applyFill="1" applyBorder="1" applyAlignment="1">
      <alignment horizontal="center" vertical="center" wrapText="1"/>
    </xf>
    <xf numFmtId="0" fontId="4" fillId="5" borderId="33" xfId="0" applyFont="1" applyFill="1" applyBorder="1" applyAlignment="1">
      <alignment vertical="center" wrapText="1"/>
    </xf>
    <xf numFmtId="0" fontId="3" fillId="5" borderId="32" xfId="0" applyFont="1" applyFill="1" applyBorder="1" applyAlignment="1">
      <alignment horizontal="center" vertical="center" wrapText="1"/>
    </xf>
    <xf numFmtId="0" fontId="4" fillId="3" borderId="4" xfId="0" applyFont="1" applyFill="1" applyBorder="1" applyAlignment="1">
      <alignment horizontal="left" vertical="center" wrapText="1"/>
    </xf>
    <xf numFmtId="0" fontId="3" fillId="3" borderId="32" xfId="0" applyFont="1" applyFill="1" applyBorder="1" applyAlignment="1">
      <alignment horizontal="center" vertical="center" wrapText="1"/>
    </xf>
    <xf numFmtId="0" fontId="0" fillId="9" borderId="0" xfId="0" applyFill="1" applyAlignment="1">
      <alignment horizontal="center" vertical="center"/>
    </xf>
    <xf numFmtId="0" fontId="37" fillId="18" borderId="23" xfId="0" applyFont="1" applyFill="1" applyBorder="1" applyAlignment="1">
      <alignment horizontal="center" vertical="center"/>
    </xf>
    <xf numFmtId="0" fontId="37" fillId="12" borderId="23" xfId="0" applyFont="1" applyFill="1" applyBorder="1" applyAlignment="1">
      <alignment horizontal="center" vertical="center"/>
    </xf>
    <xf numFmtId="0" fontId="37" fillId="0" borderId="26" xfId="0" applyFont="1" applyBorder="1" applyAlignment="1">
      <alignment horizontal="center" vertical="center"/>
    </xf>
    <xf numFmtId="0" fontId="37" fillId="0" borderId="28" xfId="0" applyFont="1" applyBorder="1" applyAlignment="1">
      <alignment horizontal="center" vertical="center"/>
    </xf>
    <xf numFmtId="0" fontId="37" fillId="0" borderId="30" xfId="0" applyFont="1" applyBorder="1" applyAlignment="1">
      <alignment horizontal="center" vertical="center"/>
    </xf>
    <xf numFmtId="0" fontId="37" fillId="17" borderId="23" xfId="0" applyFont="1" applyFill="1" applyBorder="1" applyAlignment="1">
      <alignment horizontal="center" vertical="center"/>
    </xf>
    <xf numFmtId="0" fontId="37" fillId="15" borderId="23" xfId="0" applyFont="1" applyFill="1" applyBorder="1" applyAlignment="1">
      <alignment horizontal="center" vertical="center"/>
    </xf>
    <xf numFmtId="0" fontId="37" fillId="15" borderId="22" xfId="0" applyFont="1" applyFill="1" applyBorder="1" applyAlignment="1">
      <alignment horizontal="center" vertical="center"/>
    </xf>
    <xf numFmtId="0" fontId="22" fillId="11" borderId="22" xfId="0" applyFont="1" applyFill="1" applyBorder="1" applyAlignment="1">
      <alignment horizontal="center" vertical="center"/>
    </xf>
    <xf numFmtId="0" fontId="25" fillId="4" borderId="37" xfId="0" applyFont="1" applyFill="1" applyBorder="1" applyAlignment="1">
      <alignment horizontal="center" vertical="center" wrapText="1"/>
    </xf>
    <xf numFmtId="0" fontId="4" fillId="0" borderId="39" xfId="0" applyFont="1" applyFill="1" applyBorder="1" applyAlignment="1">
      <alignment horizontal="left" vertical="center" wrapText="1"/>
    </xf>
    <xf numFmtId="0" fontId="3" fillId="0" borderId="40" xfId="0" applyFont="1" applyFill="1" applyBorder="1" applyAlignment="1">
      <alignment horizontal="center" vertical="center" wrapText="1"/>
    </xf>
    <xf numFmtId="0" fontId="8" fillId="0" borderId="41" xfId="0" applyFont="1" applyFill="1" applyBorder="1" applyAlignment="1">
      <alignment horizontal="left" vertical="center" wrapText="1"/>
    </xf>
    <xf numFmtId="0" fontId="23" fillId="0" borderId="42" xfId="0" applyFont="1" applyFill="1" applyBorder="1" applyAlignment="1">
      <alignment horizontal="center" vertical="center" wrapText="1"/>
    </xf>
    <xf numFmtId="0" fontId="8" fillId="0" borderId="43" xfId="0" applyFont="1" applyFill="1" applyBorder="1" applyAlignment="1">
      <alignment horizontal="left" vertical="center" wrapText="1"/>
    </xf>
    <xf numFmtId="0" fontId="23" fillId="0" borderId="44" xfId="0" applyFont="1" applyFill="1" applyBorder="1" applyAlignment="1">
      <alignment horizontal="center" vertical="center" wrapText="1"/>
    </xf>
    <xf numFmtId="0" fontId="4" fillId="0" borderId="45" xfId="0" applyFont="1" applyFill="1" applyBorder="1" applyAlignment="1">
      <alignment vertical="center" wrapText="1"/>
    </xf>
    <xf numFmtId="0" fontId="25" fillId="0" borderId="46" xfId="0" applyFont="1" applyFill="1" applyBorder="1" applyAlignment="1">
      <alignment horizontal="center" vertical="center" wrapText="1"/>
    </xf>
    <xf numFmtId="0" fontId="4" fillId="0" borderId="47" xfId="0" applyFont="1" applyFill="1" applyBorder="1" applyAlignment="1">
      <alignment horizontal="left" vertical="center" wrapText="1"/>
    </xf>
    <xf numFmtId="0" fontId="25" fillId="0" borderId="48" xfId="0" applyFont="1" applyFill="1" applyBorder="1" applyAlignment="1">
      <alignment horizontal="center" vertical="center" wrapText="1"/>
    </xf>
    <xf numFmtId="0" fontId="4" fillId="0" borderId="43" xfId="0" applyFont="1" applyFill="1" applyBorder="1" applyAlignment="1">
      <alignment horizontal="left" vertical="center" wrapText="1"/>
    </xf>
    <xf numFmtId="0" fontId="25" fillId="0" borderId="44" xfId="0" applyFont="1" applyFill="1" applyBorder="1" applyAlignment="1">
      <alignment horizontal="center" vertical="center" wrapText="1"/>
    </xf>
    <xf numFmtId="0" fontId="4" fillId="0" borderId="49" xfId="0" applyFont="1" applyFill="1" applyBorder="1" applyAlignment="1">
      <alignment horizontal="left" vertical="center" wrapText="1"/>
    </xf>
    <xf numFmtId="0" fontId="3" fillId="0" borderId="50" xfId="0" applyFont="1" applyFill="1" applyBorder="1" applyAlignment="1">
      <alignment horizontal="center" vertical="center" wrapText="1"/>
    </xf>
    <xf numFmtId="0" fontId="4" fillId="0" borderId="51" xfId="0" applyFont="1" applyFill="1" applyBorder="1" applyAlignment="1">
      <alignment horizontal="left" vertical="center" wrapText="1"/>
    </xf>
    <xf numFmtId="0" fontId="3" fillId="0" borderId="52" xfId="0" applyFont="1" applyFill="1" applyBorder="1" applyAlignment="1">
      <alignment horizontal="center" vertical="center" wrapText="1"/>
    </xf>
    <xf numFmtId="0" fontId="4" fillId="0" borderId="53" xfId="0" applyFont="1" applyFill="1" applyBorder="1" applyAlignment="1">
      <alignment horizontal="left" vertical="center" wrapText="1"/>
    </xf>
    <xf numFmtId="0" fontId="3" fillId="0" borderId="54" xfId="0" applyFont="1" applyFill="1" applyBorder="1" applyAlignment="1">
      <alignment horizontal="center" vertical="center" wrapText="1"/>
    </xf>
    <xf numFmtId="0" fontId="29" fillId="0" borderId="49" xfId="0" applyFont="1" applyFill="1" applyBorder="1" applyAlignment="1">
      <alignment horizontal="center" vertical="center"/>
    </xf>
    <xf numFmtId="0" fontId="30" fillId="0" borderId="50" xfId="0" applyFont="1" applyFill="1" applyBorder="1" applyAlignment="1">
      <alignment horizontal="center" vertical="center"/>
    </xf>
    <xf numFmtId="0" fontId="29" fillId="0" borderId="51" xfId="0" applyFont="1" applyFill="1" applyBorder="1" applyAlignment="1">
      <alignment horizontal="center" vertical="center"/>
    </xf>
    <xf numFmtId="0" fontId="30" fillId="0" borderId="52" xfId="0" applyFont="1" applyFill="1" applyBorder="1" applyAlignment="1">
      <alignment horizontal="center" vertical="center"/>
    </xf>
    <xf numFmtId="0" fontId="29" fillId="0" borderId="53" xfId="0" applyFont="1" applyFill="1" applyBorder="1" applyAlignment="1">
      <alignment horizontal="center" vertical="center"/>
    </xf>
    <xf numFmtId="0" fontId="30" fillId="0" borderId="54" xfId="0" applyFont="1" applyFill="1" applyBorder="1" applyAlignment="1">
      <alignment horizontal="center" vertical="center"/>
    </xf>
    <xf numFmtId="0" fontId="5" fillId="6" borderId="51" xfId="0" applyFont="1" applyFill="1" applyBorder="1" applyAlignment="1">
      <alignment horizontal="left" vertical="center" wrapText="1"/>
    </xf>
    <xf numFmtId="0" fontId="3" fillId="6" borderId="52" xfId="0" applyFont="1" applyFill="1" applyBorder="1" applyAlignment="1">
      <alignment horizontal="center" vertical="center" wrapText="1"/>
    </xf>
    <xf numFmtId="0" fontId="5" fillId="0" borderId="53" xfId="0" applyFont="1" applyFill="1" applyBorder="1" applyAlignment="1">
      <alignment horizontal="left" vertical="center" wrapText="1"/>
    </xf>
    <xf numFmtId="0" fontId="5" fillId="0" borderId="51" xfId="0" applyFont="1" applyFill="1" applyBorder="1" applyAlignment="1">
      <alignment horizontal="left" vertical="center" wrapText="1"/>
    </xf>
    <xf numFmtId="0" fontId="3" fillId="6" borderId="55" xfId="0" applyFont="1" applyFill="1" applyBorder="1" applyAlignment="1">
      <alignment horizontal="center" vertical="center" wrapText="1"/>
    </xf>
    <xf numFmtId="0" fontId="3" fillId="0" borderId="56" xfId="0" applyFont="1" applyFill="1" applyBorder="1" applyAlignment="1">
      <alignment horizontal="center" vertical="center" wrapText="1"/>
    </xf>
    <xf numFmtId="0" fontId="5" fillId="6" borderId="57" xfId="0" applyFont="1" applyFill="1" applyBorder="1" applyAlignment="1">
      <alignment horizontal="left" vertical="center" wrapText="1"/>
    </xf>
    <xf numFmtId="0" fontId="25" fillId="4" borderId="38" xfId="0" applyFont="1" applyFill="1" applyBorder="1" applyAlignment="1">
      <alignment horizontal="center" vertical="center" wrapText="1"/>
    </xf>
    <xf numFmtId="0" fontId="0" fillId="0" borderId="59" xfId="0" applyFill="1" applyBorder="1" applyAlignment="1">
      <alignment horizontal="center" vertical="center"/>
    </xf>
    <xf numFmtId="0" fontId="0" fillId="0" borderId="60" xfId="0" applyFill="1" applyBorder="1" applyAlignment="1">
      <alignment horizontal="center" vertical="center"/>
    </xf>
    <xf numFmtId="0" fontId="0" fillId="0" borderId="41" xfId="0" applyFill="1" applyBorder="1" applyAlignment="1">
      <alignment horizontal="center" vertical="center"/>
    </xf>
    <xf numFmtId="0" fontId="3" fillId="0" borderId="61" xfId="0" applyFont="1" applyFill="1" applyBorder="1" applyAlignment="1">
      <alignment horizontal="center" vertical="center" wrapText="1"/>
    </xf>
    <xf numFmtId="0" fontId="0" fillId="0" borderId="62" xfId="0" applyBorder="1" applyAlignment="1">
      <alignment horizontal="center" vertical="center"/>
    </xf>
    <xf numFmtId="0" fontId="3" fillId="6" borderId="60" xfId="0" applyFont="1" applyFill="1" applyBorder="1" applyAlignment="1">
      <alignment horizontal="center" vertical="center" wrapText="1"/>
    </xf>
    <xf numFmtId="0" fontId="0" fillId="0" borderId="43" xfId="0" applyFill="1" applyBorder="1" applyAlignment="1">
      <alignment horizontal="center" vertical="center"/>
    </xf>
    <xf numFmtId="0" fontId="3" fillId="0" borderId="60" xfId="0" applyFont="1" applyFill="1" applyBorder="1" applyAlignment="1">
      <alignment horizontal="center" vertical="center" wrapText="1"/>
    </xf>
    <xf numFmtId="0" fontId="3" fillId="2" borderId="18" xfId="0" applyFont="1" applyFill="1" applyBorder="1" applyAlignment="1">
      <alignment vertical="center" wrapText="1"/>
    </xf>
    <xf numFmtId="0" fontId="2" fillId="4" borderId="18" xfId="0" applyFont="1" applyFill="1" applyBorder="1" applyAlignment="1">
      <alignment horizontal="center" vertical="center" wrapText="1"/>
    </xf>
    <xf numFmtId="0" fontId="4" fillId="0" borderId="64" xfId="0" applyFont="1" applyFill="1" applyBorder="1" applyAlignment="1">
      <alignment horizontal="left" vertical="center" wrapText="1"/>
    </xf>
    <xf numFmtId="0" fontId="2" fillId="0" borderId="61" xfId="0" applyFont="1" applyFill="1" applyBorder="1" applyAlignment="1">
      <alignment horizontal="center" vertical="center" wrapText="1"/>
    </xf>
    <xf numFmtId="0" fontId="8" fillId="0" borderId="39" xfId="0" applyFont="1" applyFill="1" applyBorder="1" applyAlignment="1">
      <alignment horizontal="left" vertical="center" wrapText="1"/>
    </xf>
    <xf numFmtId="0" fontId="23" fillId="0" borderId="40" xfId="0" applyFont="1" applyFill="1" applyBorder="1" applyAlignment="1">
      <alignment horizontal="center" vertical="center" wrapText="1"/>
    </xf>
    <xf numFmtId="0" fontId="8" fillId="0" borderId="64" xfId="0" applyFont="1" applyFill="1" applyBorder="1" applyAlignment="1">
      <alignment horizontal="left" vertical="center" wrapText="1"/>
    </xf>
    <xf numFmtId="0" fontId="23" fillId="0" borderId="61" xfId="0" applyFont="1" applyFill="1" applyBorder="1" applyAlignment="1">
      <alignment horizontal="center" vertical="center" wrapText="1"/>
    </xf>
    <xf numFmtId="0" fontId="5" fillId="0" borderId="41" xfId="0" applyFont="1" applyFill="1" applyBorder="1" applyAlignment="1">
      <alignment horizontal="left" vertical="center" wrapText="1"/>
    </xf>
    <xf numFmtId="0" fontId="3" fillId="0" borderId="42" xfId="0" applyFont="1" applyFill="1" applyBorder="1" applyAlignment="1">
      <alignment horizontal="center" vertical="center" wrapText="1"/>
    </xf>
    <xf numFmtId="0" fontId="5" fillId="0" borderId="62" xfId="0" applyFont="1" applyFill="1" applyBorder="1" applyAlignment="1">
      <alignment horizontal="left" vertical="center" wrapText="1"/>
    </xf>
    <xf numFmtId="0" fontId="3" fillId="0" borderId="69" xfId="0" applyFont="1" applyFill="1" applyBorder="1" applyAlignment="1">
      <alignment horizontal="center" vertical="center" wrapText="1"/>
    </xf>
    <xf numFmtId="0" fontId="5" fillId="0" borderId="43" xfId="0" applyFont="1" applyFill="1" applyBorder="1" applyAlignment="1">
      <alignment horizontal="left" vertical="center" wrapText="1"/>
    </xf>
    <xf numFmtId="0" fontId="3" fillId="0" borderId="44" xfId="0" applyFont="1" applyFill="1" applyBorder="1" applyAlignment="1">
      <alignment horizontal="center" vertical="center" wrapText="1"/>
    </xf>
    <xf numFmtId="0" fontId="5" fillId="6" borderId="64" xfId="0" applyFont="1" applyFill="1" applyBorder="1" applyAlignment="1">
      <alignment horizontal="left" vertical="center" wrapText="1"/>
    </xf>
    <xf numFmtId="0" fontId="3" fillId="6" borderId="61" xfId="0" applyFont="1" applyFill="1" applyBorder="1" applyAlignment="1">
      <alignment horizontal="center" vertical="center" wrapText="1"/>
    </xf>
    <xf numFmtId="0" fontId="5" fillId="6" borderId="59" xfId="0" applyFont="1" applyFill="1" applyBorder="1" applyAlignment="1">
      <alignment horizontal="left" vertical="center" wrapText="1"/>
    </xf>
    <xf numFmtId="0" fontId="0" fillId="0" borderId="70" xfId="0" applyFill="1" applyBorder="1" applyAlignment="1">
      <alignment horizontal="center" vertical="center"/>
    </xf>
    <xf numFmtId="0" fontId="0" fillId="0" borderId="71" xfId="0" applyFill="1" applyBorder="1" applyAlignment="1">
      <alignment horizontal="center" vertical="center"/>
    </xf>
    <xf numFmtId="0" fontId="3" fillId="4" borderId="18" xfId="0" applyFont="1" applyFill="1" applyBorder="1" applyAlignment="1">
      <alignment horizontal="center" vertical="center" wrapText="1"/>
    </xf>
    <xf numFmtId="0" fontId="0" fillId="0" borderId="64" xfId="0" applyFill="1" applyBorder="1" applyAlignment="1">
      <alignment horizontal="center" vertical="center"/>
    </xf>
    <xf numFmtId="0" fontId="0" fillId="0" borderId="61" xfId="0" applyFill="1" applyBorder="1" applyAlignment="1">
      <alignment horizontal="center" vertical="center"/>
    </xf>
    <xf numFmtId="0" fontId="23" fillId="14" borderId="38" xfId="0" applyFont="1" applyFill="1" applyBorder="1" applyAlignment="1">
      <alignment horizontal="center" vertical="center" wrapText="1"/>
    </xf>
    <xf numFmtId="0" fontId="25" fillId="5" borderId="18" xfId="0" applyFont="1" applyFill="1" applyBorder="1" applyAlignment="1">
      <alignment horizontal="center" vertical="center" wrapText="1"/>
    </xf>
    <xf numFmtId="0" fontId="4" fillId="5" borderId="68" xfId="0" applyFont="1" applyFill="1" applyBorder="1" applyAlignment="1">
      <alignment horizontal="left" vertical="center" wrapText="1"/>
    </xf>
    <xf numFmtId="0" fontId="4" fillId="0" borderId="41" xfId="0" applyFont="1" applyFill="1" applyBorder="1" applyAlignment="1">
      <alignment horizontal="left" vertical="center" wrapText="1"/>
    </xf>
    <xf numFmtId="0" fontId="25" fillId="0" borderId="42" xfId="0" applyFont="1" applyFill="1" applyBorder="1" applyAlignment="1">
      <alignment horizontal="center" vertical="center" wrapText="1"/>
    </xf>
    <xf numFmtId="0" fontId="4" fillId="0" borderId="72" xfId="0" applyFont="1" applyFill="1" applyBorder="1" applyAlignment="1">
      <alignment horizontal="left" vertical="center" wrapText="1"/>
    </xf>
    <xf numFmtId="0" fontId="25" fillId="0" borderId="73" xfId="0" applyFont="1" applyFill="1" applyBorder="1" applyAlignment="1">
      <alignment horizontal="center" vertical="center" wrapText="1"/>
    </xf>
    <xf numFmtId="0" fontId="5" fillId="6" borderId="74" xfId="0" applyFont="1" applyFill="1" applyBorder="1" applyAlignment="1">
      <alignment horizontal="left" vertical="center" wrapText="1"/>
    </xf>
    <xf numFmtId="0" fontId="3" fillId="6" borderId="75" xfId="0" applyFont="1" applyFill="1" applyBorder="1" applyAlignment="1">
      <alignment horizontal="center" vertical="center" wrapText="1"/>
    </xf>
    <xf numFmtId="0" fontId="0" fillId="0" borderId="76" xfId="0" applyFill="1" applyBorder="1" applyAlignment="1">
      <alignment horizontal="center" vertical="center"/>
    </xf>
    <xf numFmtId="0" fontId="0" fillId="0" borderId="56" xfId="0" applyFill="1" applyBorder="1" applyAlignment="1">
      <alignment horizontal="center" vertical="center"/>
    </xf>
    <xf numFmtId="0" fontId="25" fillId="14" borderId="38" xfId="0" applyFont="1" applyFill="1" applyBorder="1" applyAlignment="1">
      <alignment horizontal="center" vertical="center" wrapText="1"/>
    </xf>
    <xf numFmtId="0" fontId="5" fillId="0" borderId="59" xfId="0" applyFont="1" applyFill="1" applyBorder="1" applyAlignment="1">
      <alignment horizontal="left" vertical="center" wrapText="1"/>
    </xf>
    <xf numFmtId="0" fontId="5" fillId="0" borderId="70" xfId="0" applyFont="1" applyFill="1" applyBorder="1" applyAlignment="1">
      <alignment horizontal="left" vertical="center" wrapText="1"/>
    </xf>
    <xf numFmtId="0" fontId="3" fillId="0" borderId="71" xfId="0" applyFont="1" applyFill="1" applyBorder="1" applyAlignment="1">
      <alignment horizontal="center" vertical="center" wrapText="1"/>
    </xf>
    <xf numFmtId="0" fontId="5" fillId="0" borderId="74" xfId="0" applyFont="1" applyFill="1" applyBorder="1" applyAlignment="1">
      <alignment horizontal="left" vertical="center" wrapText="1"/>
    </xf>
    <xf numFmtId="0" fontId="3" fillId="0" borderId="75" xfId="0" applyFont="1" applyFill="1" applyBorder="1" applyAlignment="1">
      <alignment horizontal="center" vertical="center" wrapText="1"/>
    </xf>
    <xf numFmtId="0" fontId="0" fillId="0" borderId="39" xfId="0" applyFill="1" applyBorder="1" applyAlignment="1">
      <alignment horizontal="center" vertical="center"/>
    </xf>
    <xf numFmtId="0" fontId="0" fillId="0" borderId="40" xfId="0" applyFill="1" applyBorder="1" applyAlignment="1">
      <alignment horizontal="center" vertical="center"/>
    </xf>
    <xf numFmtId="0" fontId="5" fillId="0" borderId="64" xfId="0" applyFont="1" applyFill="1" applyBorder="1" applyAlignment="1">
      <alignment horizontal="left" vertical="center" wrapText="1"/>
    </xf>
    <xf numFmtId="0" fontId="0" fillId="0" borderId="70" xfId="0" applyBorder="1" applyAlignment="1">
      <alignment horizontal="center" vertical="center"/>
    </xf>
    <xf numFmtId="0" fontId="0" fillId="0" borderId="71" xfId="0" applyBorder="1" applyAlignment="1">
      <alignment horizontal="center" vertical="center"/>
    </xf>
    <xf numFmtId="0" fontId="0" fillId="0" borderId="59" xfId="0" applyBorder="1" applyAlignment="1">
      <alignment horizontal="center" vertical="center"/>
    </xf>
    <xf numFmtId="0" fontId="0" fillId="0" borderId="60" xfId="0" applyBorder="1" applyAlignment="1">
      <alignment horizontal="center" vertical="center"/>
    </xf>
    <xf numFmtId="0" fontId="4" fillId="0" borderId="62" xfId="0" applyFont="1" applyFill="1" applyBorder="1" applyAlignment="1">
      <alignment horizontal="left" vertical="center" wrapText="1"/>
    </xf>
    <xf numFmtId="0" fontId="25" fillId="0" borderId="69" xfId="0" applyFont="1" applyFill="1" applyBorder="1" applyAlignment="1">
      <alignment horizontal="center" vertical="center" wrapText="1"/>
    </xf>
    <xf numFmtId="0" fontId="0" fillId="0" borderId="39" xfId="0" applyBorder="1" applyAlignment="1">
      <alignment horizontal="center" vertical="center"/>
    </xf>
    <xf numFmtId="0" fontId="0" fillId="0" borderId="40" xfId="0" applyBorder="1" applyAlignment="1">
      <alignment horizontal="center" vertical="center"/>
    </xf>
    <xf numFmtId="0" fontId="0" fillId="0" borderId="74" xfId="0" applyBorder="1" applyAlignment="1">
      <alignment horizontal="center" vertical="center"/>
    </xf>
    <xf numFmtId="0" fontId="25" fillId="0" borderId="40" xfId="0" applyFont="1" applyFill="1" applyBorder="1" applyAlignment="1">
      <alignment horizontal="center" vertical="center" wrapText="1"/>
    </xf>
    <xf numFmtId="0" fontId="25" fillId="2" borderId="18" xfId="0" applyFont="1" applyFill="1" applyBorder="1" applyAlignment="1">
      <alignment vertical="center" wrapText="1"/>
    </xf>
    <xf numFmtId="0" fontId="4" fillId="0" borderId="64" xfId="0" applyFont="1" applyFill="1" applyBorder="1" applyAlignment="1">
      <alignment vertical="center" wrapText="1"/>
    </xf>
    <xf numFmtId="0" fontId="25" fillId="0" borderId="61" xfId="0" applyFont="1" applyFill="1" applyBorder="1" applyAlignment="1">
      <alignment vertical="center" wrapText="1"/>
    </xf>
    <xf numFmtId="0" fontId="4" fillId="2" borderId="68" xfId="0" applyFont="1" applyFill="1" applyBorder="1" applyAlignment="1">
      <alignment vertical="center" wrapText="1"/>
    </xf>
    <xf numFmtId="0" fontId="4" fillId="0" borderId="41" xfId="0" applyFont="1" applyFill="1" applyBorder="1" applyAlignment="1">
      <alignment vertical="center" wrapText="1"/>
    </xf>
    <xf numFmtId="0" fontId="25" fillId="0" borderId="42" xfId="0" applyFont="1" applyFill="1" applyBorder="1" applyAlignment="1">
      <alignment vertical="center" wrapText="1"/>
    </xf>
    <xf numFmtId="0" fontId="0" fillId="0" borderId="44" xfId="0" applyFill="1" applyBorder="1" applyAlignment="1">
      <alignment horizontal="center" vertical="center"/>
    </xf>
    <xf numFmtId="0" fontId="25" fillId="2" borderId="37" xfId="0" applyFont="1" applyFill="1" applyBorder="1" applyAlignment="1">
      <alignment horizontal="center" vertical="center" wrapText="1"/>
    </xf>
    <xf numFmtId="0" fontId="4" fillId="0" borderId="39" xfId="0" applyFont="1" applyFill="1" applyBorder="1" applyAlignment="1">
      <alignment vertical="center" wrapText="1"/>
    </xf>
    <xf numFmtId="0" fontId="25" fillId="0" borderId="40" xfId="0" applyFont="1" applyFill="1" applyBorder="1" applyAlignment="1">
      <alignment vertical="center" wrapText="1"/>
    </xf>
    <xf numFmtId="0" fontId="0" fillId="12" borderId="18" xfId="0" applyFill="1" applyBorder="1" applyAlignment="1">
      <alignment horizontal="center" vertical="center"/>
    </xf>
    <xf numFmtId="0" fontId="4" fillId="0" borderId="74" xfId="0" applyFont="1" applyFill="1" applyBorder="1" applyAlignment="1">
      <alignment horizontal="left" vertical="center" wrapText="1"/>
    </xf>
    <xf numFmtId="0" fontId="25" fillId="0" borderId="75" xfId="0" applyFont="1" applyFill="1" applyBorder="1" applyAlignment="1">
      <alignment horizontal="center" vertical="center" wrapText="1"/>
    </xf>
    <xf numFmtId="0" fontId="25" fillId="0" borderId="52" xfId="0" applyFont="1" applyFill="1" applyBorder="1" applyAlignment="1">
      <alignment horizontal="center" vertical="center" wrapText="1"/>
    </xf>
    <xf numFmtId="0" fontId="4" fillId="0" borderId="76" xfId="0" applyFont="1" applyFill="1" applyBorder="1" applyAlignment="1">
      <alignment horizontal="left" vertical="center" wrapText="1"/>
    </xf>
    <xf numFmtId="0" fontId="25" fillId="0" borderId="56" xfId="0" applyFont="1" applyFill="1" applyBorder="1" applyAlignment="1">
      <alignment horizontal="center" vertical="center" wrapText="1"/>
    </xf>
    <xf numFmtId="0" fontId="0" fillId="0" borderId="51" xfId="0" applyFill="1" applyBorder="1" applyAlignment="1">
      <alignment horizontal="center" vertical="center"/>
    </xf>
    <xf numFmtId="0" fontId="0" fillId="0" borderId="52" xfId="0" applyFill="1" applyBorder="1" applyAlignment="1">
      <alignment horizontal="center" vertical="center"/>
    </xf>
    <xf numFmtId="0" fontId="3" fillId="2" borderId="18" xfId="0" applyFont="1" applyFill="1" applyBorder="1" applyAlignment="1">
      <alignment horizontal="center" vertical="center" wrapText="1"/>
    </xf>
    <xf numFmtId="0" fontId="5" fillId="6" borderId="62" xfId="0" applyFont="1" applyFill="1" applyBorder="1" applyAlignment="1">
      <alignment horizontal="left" vertical="center" wrapText="1"/>
    </xf>
    <xf numFmtId="0" fontId="3" fillId="6" borderId="69" xfId="0" applyFont="1" applyFill="1" applyBorder="1" applyAlignment="1">
      <alignment horizontal="center" vertical="center" wrapText="1"/>
    </xf>
    <xf numFmtId="0" fontId="5" fillId="6" borderId="62" xfId="0" applyFont="1" applyFill="1" applyBorder="1" applyAlignment="1">
      <alignment horizontal="center" vertical="center" wrapText="1"/>
    </xf>
    <xf numFmtId="0" fontId="3" fillId="0" borderId="73" xfId="0" applyFont="1" applyFill="1" applyBorder="1" applyAlignment="1">
      <alignment horizontal="center" vertical="center" wrapText="1"/>
    </xf>
    <xf numFmtId="0" fontId="3" fillId="11" borderId="38" xfId="0" applyFont="1" applyFill="1" applyBorder="1" applyAlignment="1">
      <alignment horizontal="center" vertical="center" wrapText="1"/>
    </xf>
    <xf numFmtId="0" fontId="16" fillId="0" borderId="39" xfId="0" applyFont="1" applyFill="1" applyBorder="1" applyAlignment="1">
      <alignment vertical="center" wrapText="1"/>
    </xf>
    <xf numFmtId="0" fontId="3" fillId="0" borderId="40" xfId="0" applyFont="1" applyFill="1" applyBorder="1" applyAlignment="1">
      <alignment vertical="center" wrapText="1"/>
    </xf>
    <xf numFmtId="0" fontId="3" fillId="6" borderId="56" xfId="0" applyFont="1" applyFill="1" applyBorder="1" applyAlignment="1">
      <alignment horizontal="center" vertical="center" wrapText="1"/>
    </xf>
    <xf numFmtId="0" fontId="5" fillId="6" borderId="76" xfId="0" applyFont="1" applyFill="1" applyBorder="1" applyAlignment="1">
      <alignment horizontal="left" vertical="center" wrapText="1"/>
    </xf>
    <xf numFmtId="0" fontId="25" fillId="2" borderId="18" xfId="0" applyFont="1" applyFill="1" applyBorder="1" applyAlignment="1">
      <alignment horizontal="center" vertical="center" wrapText="1"/>
    </xf>
    <xf numFmtId="0" fontId="25" fillId="15" borderId="37" xfId="0" applyFont="1" applyFill="1" applyBorder="1" applyAlignment="1">
      <alignment horizontal="center" vertical="center" wrapText="1"/>
    </xf>
    <xf numFmtId="0" fontId="25" fillId="15" borderId="17" xfId="0" applyFont="1" applyFill="1" applyBorder="1" applyAlignment="1">
      <alignment horizontal="center" vertical="center" wrapText="1"/>
    </xf>
    <xf numFmtId="0" fontId="4" fillId="15" borderId="7" xfId="0" applyFont="1" applyFill="1" applyBorder="1" applyAlignment="1">
      <alignment horizontal="left" vertical="center" wrapText="1"/>
    </xf>
    <xf numFmtId="0" fontId="4" fillId="17" borderId="0" xfId="0" applyFont="1" applyFill="1" applyBorder="1" applyAlignment="1">
      <alignment vertical="center" wrapText="1"/>
    </xf>
    <xf numFmtId="0" fontId="25" fillId="17" borderId="17" xfId="0" applyFont="1" applyFill="1" applyBorder="1" applyAlignment="1">
      <alignment vertical="center" wrapText="1"/>
    </xf>
    <xf numFmtId="0" fontId="4" fillId="17" borderId="7" xfId="0" applyFont="1" applyFill="1" applyBorder="1" applyAlignment="1">
      <alignment vertical="center" wrapText="1"/>
    </xf>
    <xf numFmtId="0" fontId="25" fillId="17" borderId="17" xfId="0" applyFont="1" applyFill="1" applyBorder="1" applyAlignment="1">
      <alignment horizontal="center" vertical="center" wrapText="1"/>
    </xf>
    <xf numFmtId="0" fontId="3" fillId="17" borderId="17" xfId="0" applyFont="1" applyFill="1" applyBorder="1" applyAlignment="1">
      <alignment horizontal="center" vertical="center" wrapText="1"/>
    </xf>
    <xf numFmtId="0" fontId="0" fillId="17" borderId="0" xfId="0" applyFill="1" applyBorder="1" applyAlignment="1">
      <alignment horizontal="center" vertical="center"/>
    </xf>
    <xf numFmtId="0" fontId="0" fillId="17" borderId="17" xfId="0" applyFill="1" applyBorder="1" applyAlignment="1">
      <alignment horizontal="center" vertical="center"/>
    </xf>
    <xf numFmtId="0" fontId="4" fillId="17" borderId="7" xfId="0" applyFont="1" applyFill="1" applyBorder="1" applyAlignment="1">
      <alignment horizontal="left" vertical="center" wrapText="1"/>
    </xf>
    <xf numFmtId="0" fontId="3" fillId="17" borderId="18" xfId="0" applyFont="1" applyFill="1" applyBorder="1" applyAlignment="1">
      <alignment horizontal="center" vertical="center" wrapText="1"/>
    </xf>
    <xf numFmtId="0" fontId="25" fillId="17" borderId="18" xfId="0" applyFont="1" applyFill="1" applyBorder="1" applyAlignment="1">
      <alignment horizontal="center" vertical="center" wrapText="1"/>
    </xf>
    <xf numFmtId="0" fontId="4" fillId="17" borderId="2" xfId="0" applyFont="1" applyFill="1" applyBorder="1" applyAlignment="1">
      <alignment horizontal="left" vertical="center" wrapText="1"/>
    </xf>
    <xf numFmtId="0" fontId="0" fillId="17" borderId="7" xfId="0" applyFill="1" applyBorder="1" applyAlignment="1">
      <alignment horizontal="center" vertical="center"/>
    </xf>
    <xf numFmtId="0" fontId="0" fillId="17" borderId="18" xfId="0" applyFill="1" applyBorder="1" applyAlignment="1">
      <alignment horizontal="center" vertical="center"/>
    </xf>
    <xf numFmtId="0" fontId="4" fillId="15" borderId="2" xfId="0" applyFont="1" applyFill="1" applyBorder="1" applyAlignment="1">
      <alignment horizontal="left" vertical="center" wrapText="1"/>
    </xf>
    <xf numFmtId="0" fontId="16" fillId="15" borderId="68" xfId="0" applyFont="1" applyFill="1" applyBorder="1" applyAlignment="1">
      <alignment horizontal="left" vertical="center" wrapText="1"/>
    </xf>
    <xf numFmtId="0" fontId="25" fillId="15" borderId="18" xfId="0" applyFont="1" applyFill="1" applyBorder="1" applyAlignment="1">
      <alignment horizontal="center" vertical="center" wrapText="1"/>
    </xf>
    <xf numFmtId="0" fontId="0" fillId="12" borderId="78" xfId="0" applyFill="1" applyBorder="1" applyAlignment="1">
      <alignment horizontal="center" vertical="center"/>
    </xf>
    <xf numFmtId="0" fontId="0" fillId="0" borderId="64" xfId="0" applyBorder="1" applyAlignment="1">
      <alignment horizontal="center" vertical="center"/>
    </xf>
    <xf numFmtId="0" fontId="0" fillId="0" borderId="61" xfId="0" applyBorder="1" applyAlignment="1">
      <alignment horizontal="center" vertical="center"/>
    </xf>
    <xf numFmtId="0" fontId="5" fillId="0" borderId="57" xfId="0" applyFont="1" applyFill="1" applyBorder="1" applyAlignment="1">
      <alignment horizontal="left" vertical="center" wrapText="1"/>
    </xf>
    <xf numFmtId="0" fontId="3" fillId="0" borderId="55" xfId="0" applyFont="1" applyFill="1" applyBorder="1" applyAlignment="1">
      <alignment horizontal="center" vertical="center" wrapText="1"/>
    </xf>
    <xf numFmtId="0" fontId="0" fillId="0" borderId="76" xfId="0" applyBorder="1" applyAlignment="1">
      <alignment horizontal="center" vertical="center"/>
    </xf>
    <xf numFmtId="0" fontId="0" fillId="0" borderId="56" xfId="0" applyBorder="1" applyAlignment="1">
      <alignment horizontal="center" vertical="center"/>
    </xf>
    <xf numFmtId="0" fontId="0" fillId="0" borderId="42" xfId="0" applyFill="1" applyBorder="1" applyAlignment="1">
      <alignment horizontal="center" vertical="center"/>
    </xf>
    <xf numFmtId="0" fontId="0" fillId="0" borderId="72" xfId="0" applyBorder="1" applyAlignment="1">
      <alignment horizontal="center" vertical="center"/>
    </xf>
    <xf numFmtId="0" fontId="0" fillId="0" borderId="73" xfId="0" applyBorder="1" applyAlignment="1">
      <alignment horizontal="center" vertical="center"/>
    </xf>
    <xf numFmtId="0" fontId="4" fillId="0" borderId="74" xfId="0" applyFont="1" applyFill="1" applyBorder="1" applyAlignment="1">
      <alignment vertical="center" wrapText="1"/>
    </xf>
    <xf numFmtId="0" fontId="0" fillId="0" borderId="75" xfId="0" applyBorder="1" applyAlignment="1">
      <alignment horizontal="center" vertical="center"/>
    </xf>
    <xf numFmtId="0" fontId="0" fillId="0" borderId="51" xfId="0" applyBorder="1" applyAlignment="1">
      <alignment horizontal="center" vertical="center"/>
    </xf>
    <xf numFmtId="0" fontId="0" fillId="0" borderId="52" xfId="0" applyBorder="1" applyAlignment="1">
      <alignment horizontal="center" vertical="center"/>
    </xf>
    <xf numFmtId="0" fontId="5" fillId="0" borderId="79" xfId="0" applyFont="1" applyFill="1" applyBorder="1" applyAlignment="1">
      <alignment horizontal="left" vertical="center" wrapText="1"/>
    </xf>
    <xf numFmtId="0" fontId="3" fillId="0" borderId="80" xfId="0" applyFont="1" applyFill="1" applyBorder="1" applyAlignment="1">
      <alignment horizontal="center" vertical="center" wrapText="1"/>
    </xf>
    <xf numFmtId="0" fontId="4" fillId="15" borderId="0" xfId="0" applyFont="1" applyFill="1" applyBorder="1" applyAlignment="1">
      <alignment vertical="center" wrapText="1"/>
    </xf>
    <xf numFmtId="0" fontId="4" fillId="15" borderId="9" xfId="0" applyFont="1" applyFill="1" applyBorder="1" applyAlignment="1">
      <alignment vertical="center" wrapText="1"/>
    </xf>
    <xf numFmtId="0" fontId="18" fillId="15" borderId="7" xfId="0" applyFont="1" applyFill="1" applyBorder="1" applyAlignment="1">
      <alignment horizontal="left" vertical="center" wrapText="1"/>
    </xf>
    <xf numFmtId="0" fontId="3" fillId="15" borderId="18" xfId="0" applyFont="1" applyFill="1" applyBorder="1" applyAlignment="1">
      <alignment horizontal="center" vertical="center" wrapText="1"/>
    </xf>
    <xf numFmtId="0" fontId="4" fillId="12" borderId="0" xfId="0" applyFont="1" applyFill="1" applyBorder="1" applyAlignment="1">
      <alignment horizontal="left" vertical="center" wrapText="1"/>
    </xf>
    <xf numFmtId="0" fontId="25" fillId="12" borderId="17" xfId="0" applyFont="1" applyFill="1" applyBorder="1" applyAlignment="1">
      <alignment horizontal="center" vertical="center" wrapText="1"/>
    </xf>
    <xf numFmtId="0" fontId="3" fillId="12" borderId="17" xfId="0" applyFont="1" applyFill="1" applyBorder="1" applyAlignment="1">
      <alignment horizontal="center" vertical="center" wrapText="1"/>
    </xf>
    <xf numFmtId="0" fontId="4" fillId="12" borderId="7" xfId="0" applyFont="1" applyFill="1" applyBorder="1" applyAlignment="1">
      <alignment horizontal="left" vertical="center" wrapText="1"/>
    </xf>
    <xf numFmtId="0" fontId="16" fillId="13" borderId="0" xfId="0" applyFont="1" applyFill="1" applyBorder="1" applyAlignment="1">
      <alignment horizontal="left" vertical="center" wrapText="1"/>
    </xf>
    <xf numFmtId="0" fontId="4" fillId="13" borderId="0" xfId="0" applyFont="1" applyFill="1" applyBorder="1" applyAlignment="1">
      <alignment vertical="center" wrapText="1"/>
    </xf>
    <xf numFmtId="0" fontId="25" fillId="13" borderId="17" xfId="0" applyFont="1" applyFill="1" applyBorder="1" applyAlignment="1">
      <alignment vertical="center" wrapText="1"/>
    </xf>
    <xf numFmtId="0" fontId="16" fillId="13" borderId="0" xfId="0" applyFont="1" applyFill="1" applyBorder="1" applyAlignment="1">
      <alignment vertical="center" wrapText="1"/>
    </xf>
    <xf numFmtId="0" fontId="4" fillId="13" borderId="7" xfId="0" applyFont="1" applyFill="1" applyBorder="1" applyAlignment="1">
      <alignment vertical="center" wrapText="1"/>
    </xf>
    <xf numFmtId="0" fontId="4" fillId="15" borderId="63" xfId="0" applyFont="1" applyFill="1" applyBorder="1" applyAlignment="1">
      <alignment vertical="center" wrapText="1"/>
    </xf>
    <xf numFmtId="0" fontId="9" fillId="15" borderId="0" xfId="0" applyFont="1" applyFill="1" applyBorder="1" applyAlignment="1">
      <alignment vertical="center" wrapText="1"/>
    </xf>
    <xf numFmtId="0" fontId="9" fillId="15" borderId="0" xfId="0" applyFont="1" applyFill="1" applyBorder="1" applyAlignment="1">
      <alignment horizontal="left" vertical="top" wrapText="1"/>
    </xf>
    <xf numFmtId="0" fontId="9" fillId="15" borderId="7" xfId="0" applyFont="1" applyFill="1" applyBorder="1" applyAlignment="1">
      <alignment vertical="center" wrapText="1"/>
    </xf>
    <xf numFmtId="0" fontId="4" fillId="12" borderId="0" xfId="0" applyFont="1" applyFill="1" applyBorder="1" applyAlignment="1">
      <alignment horizontal="left" vertical="top" wrapText="1"/>
    </xf>
    <xf numFmtId="0" fontId="25" fillId="12" borderId="37" xfId="0" applyFont="1" applyFill="1" applyBorder="1" applyAlignment="1">
      <alignment horizontal="center" vertical="center" wrapText="1"/>
    </xf>
    <xf numFmtId="0" fontId="4" fillId="12" borderId="2" xfId="0" applyFont="1" applyFill="1" applyBorder="1" applyAlignment="1">
      <alignment vertical="center" wrapText="1"/>
    </xf>
    <xf numFmtId="0" fontId="25" fillId="12" borderId="17" xfId="0" applyFont="1" applyFill="1" applyBorder="1" applyAlignment="1">
      <alignment vertical="center" wrapText="1"/>
    </xf>
    <xf numFmtId="0" fontId="22" fillId="12" borderId="7" xfId="0" applyFont="1" applyFill="1" applyBorder="1" applyAlignment="1">
      <alignment vertical="center" wrapText="1"/>
    </xf>
    <xf numFmtId="0" fontId="25" fillId="12" borderId="18" xfId="0" applyFont="1" applyFill="1" applyBorder="1" applyAlignment="1">
      <alignment vertical="center" wrapText="1"/>
    </xf>
    <xf numFmtId="0" fontId="4" fillId="13" borderId="2" xfId="0" applyFont="1" applyFill="1" applyBorder="1" applyAlignment="1">
      <alignment vertical="center" wrapText="1"/>
    </xf>
    <xf numFmtId="0" fontId="25" fillId="13" borderId="17" xfId="0" applyFont="1" applyFill="1" applyBorder="1" applyAlignment="1">
      <alignment horizontal="center" vertical="center" wrapText="1"/>
    </xf>
    <xf numFmtId="0" fontId="22" fillId="13" borderId="7" xfId="0" applyFont="1" applyFill="1" applyBorder="1" applyAlignment="1">
      <alignment vertical="center" wrapText="1"/>
    </xf>
    <xf numFmtId="0" fontId="25" fillId="13" borderId="18" xfId="0" applyFont="1" applyFill="1" applyBorder="1" applyAlignment="1">
      <alignment horizontal="center" vertical="center" wrapText="1"/>
    </xf>
    <xf numFmtId="0" fontId="20" fillId="12" borderId="0" xfId="0" applyFont="1" applyFill="1" applyBorder="1" applyAlignment="1">
      <alignment vertical="center" wrapText="1"/>
    </xf>
    <xf numFmtId="0" fontId="3" fillId="12" borderId="18" xfId="0" applyFont="1" applyFill="1" applyBorder="1" applyAlignment="1">
      <alignment horizontal="center" vertical="center" wrapText="1"/>
    </xf>
    <xf numFmtId="0" fontId="4" fillId="15" borderId="7" xfId="0" applyFont="1" applyFill="1" applyBorder="1" applyAlignment="1">
      <alignment vertical="center" wrapText="1"/>
    </xf>
    <xf numFmtId="0" fontId="3" fillId="13" borderId="17" xfId="0" applyFont="1" applyFill="1" applyBorder="1" applyAlignment="1">
      <alignment horizontal="center" vertical="center" wrapText="1"/>
    </xf>
    <xf numFmtId="0" fontId="3" fillId="13" borderId="18" xfId="0" applyFont="1" applyFill="1" applyBorder="1" applyAlignment="1">
      <alignment horizontal="center" vertical="center" wrapText="1"/>
    </xf>
    <xf numFmtId="0" fontId="3" fillId="13" borderId="17" xfId="0" applyFont="1" applyFill="1" applyBorder="1" applyAlignment="1">
      <alignment vertical="center" wrapText="1"/>
    </xf>
    <xf numFmtId="0" fontId="3" fillId="13" borderId="18" xfId="0" applyFont="1" applyFill="1" applyBorder="1" applyAlignment="1">
      <alignment vertical="center" wrapText="1"/>
    </xf>
    <xf numFmtId="0" fontId="0" fillId="13" borderId="0" xfId="0" applyFill="1" applyBorder="1" applyAlignment="1">
      <alignment horizontal="center" vertical="center"/>
    </xf>
    <xf numFmtId="0" fontId="4" fillId="15" borderId="2" xfId="0" applyFont="1" applyFill="1" applyBorder="1" applyAlignment="1">
      <alignment vertical="center" wrapText="1"/>
    </xf>
    <xf numFmtId="0" fontId="25" fillId="15" borderId="17" xfId="0" applyFont="1" applyFill="1" applyBorder="1" applyAlignment="1">
      <alignment vertical="center" wrapText="1"/>
    </xf>
    <xf numFmtId="0" fontId="3" fillId="15" borderId="18" xfId="0" applyFont="1" applyFill="1" applyBorder="1" applyAlignment="1">
      <alignment vertical="center" wrapText="1"/>
    </xf>
    <xf numFmtId="0" fontId="4" fillId="12" borderId="68" xfId="0" applyFont="1" applyFill="1" applyBorder="1" applyAlignment="1">
      <alignment vertical="center" wrapText="1"/>
    </xf>
    <xf numFmtId="0" fontId="3" fillId="12" borderId="18" xfId="0" applyFont="1" applyFill="1" applyBorder="1" applyAlignment="1">
      <alignment vertical="center" wrapText="1"/>
    </xf>
    <xf numFmtId="0" fontId="4" fillId="17" borderId="2" xfId="0" applyFont="1" applyFill="1" applyBorder="1" applyAlignment="1">
      <alignment vertical="center" wrapText="1"/>
    </xf>
    <xf numFmtId="0" fontId="3" fillId="17" borderId="18" xfId="0" applyFont="1" applyFill="1" applyBorder="1" applyAlignment="1">
      <alignment vertical="center" wrapText="1"/>
    </xf>
    <xf numFmtId="0" fontId="4" fillId="13" borderId="19" xfId="0" applyFont="1" applyFill="1" applyBorder="1" applyAlignment="1">
      <alignment horizontal="left" vertical="center" wrapText="1"/>
    </xf>
    <xf numFmtId="0" fontId="4" fillId="13" borderId="7" xfId="0" applyFont="1" applyFill="1" applyBorder="1" applyAlignment="1">
      <alignment horizontal="left" vertical="center" wrapText="1"/>
    </xf>
    <xf numFmtId="0" fontId="3" fillId="15" borderId="17" xfId="0" applyFont="1" applyFill="1" applyBorder="1" applyAlignment="1">
      <alignment vertical="center" wrapText="1"/>
    </xf>
    <xf numFmtId="0" fontId="4" fillId="15" borderId="68" xfId="0" applyFont="1" applyFill="1" applyBorder="1" applyAlignment="1">
      <alignment vertical="center" wrapText="1"/>
    </xf>
    <xf numFmtId="0" fontId="4" fillId="12" borderId="2" xfId="0" applyFont="1" applyFill="1" applyBorder="1" applyAlignment="1">
      <alignment horizontal="left" vertical="center" wrapText="1"/>
    </xf>
    <xf numFmtId="0" fontId="0" fillId="12" borderId="68" xfId="0" applyFill="1" applyBorder="1" applyAlignment="1">
      <alignment horizontal="center" vertical="center"/>
    </xf>
    <xf numFmtId="0" fontId="4" fillId="17" borderId="63" xfId="0" applyFont="1" applyFill="1" applyBorder="1" applyAlignment="1">
      <alignment horizontal="left" vertical="center" wrapText="1"/>
    </xf>
    <xf numFmtId="0" fontId="25" fillId="17" borderId="37" xfId="0" applyFont="1" applyFill="1" applyBorder="1" applyAlignment="1">
      <alignment horizontal="center" vertical="center" wrapText="1"/>
    </xf>
    <xf numFmtId="0" fontId="4" fillId="17" borderId="8" xfId="0" applyFont="1" applyFill="1" applyBorder="1" applyAlignment="1">
      <alignment horizontal="left" vertical="center" wrapText="1"/>
    </xf>
    <xf numFmtId="0" fontId="4" fillId="17" borderId="68" xfId="0" applyFont="1" applyFill="1" applyBorder="1" applyAlignment="1">
      <alignment horizontal="left" vertical="center" wrapText="1"/>
    </xf>
    <xf numFmtId="0" fontId="4" fillId="13" borderId="68" xfId="0" applyFont="1" applyFill="1" applyBorder="1" applyAlignment="1">
      <alignment vertical="center" wrapText="1"/>
    </xf>
    <xf numFmtId="0" fontId="25" fillId="13" borderId="18" xfId="0" applyFont="1" applyFill="1" applyBorder="1" applyAlignment="1">
      <alignment vertical="center" wrapText="1"/>
    </xf>
    <xf numFmtId="0" fontId="8" fillId="17" borderId="0" xfId="0" applyFont="1" applyFill="1" applyBorder="1" applyAlignment="1">
      <alignment vertical="center" wrapText="1"/>
    </xf>
    <xf numFmtId="0" fontId="4" fillId="17" borderId="68" xfId="0" applyFont="1" applyFill="1" applyBorder="1" applyAlignment="1">
      <alignment vertical="center" wrapText="1"/>
    </xf>
    <xf numFmtId="0" fontId="25" fillId="17" borderId="18" xfId="0" applyFont="1" applyFill="1" applyBorder="1" applyAlignment="1">
      <alignment vertical="center" wrapText="1"/>
    </xf>
    <xf numFmtId="0" fontId="4" fillId="13" borderId="63" xfId="0" applyFont="1" applyFill="1" applyBorder="1" applyAlignment="1">
      <alignment vertical="center" wrapText="1"/>
    </xf>
    <xf numFmtId="0" fontId="25" fillId="0" borderId="61" xfId="0" applyFont="1" applyFill="1" applyBorder="1" applyAlignment="1">
      <alignment horizontal="center" vertical="center" wrapText="1"/>
    </xf>
    <xf numFmtId="0" fontId="0" fillId="0" borderId="53" xfId="0" applyFill="1" applyBorder="1" applyAlignment="1">
      <alignment horizontal="center" vertical="center"/>
    </xf>
    <xf numFmtId="0" fontId="25" fillId="0" borderId="55" xfId="0" applyFont="1" applyFill="1" applyBorder="1" applyAlignment="1">
      <alignment horizontal="center" vertical="center" wrapText="1"/>
    </xf>
    <xf numFmtId="0" fontId="5" fillId="0" borderId="76" xfId="0" applyFont="1" applyFill="1" applyBorder="1" applyAlignment="1">
      <alignment horizontal="left" vertical="center" wrapText="1"/>
    </xf>
    <xf numFmtId="0" fontId="3" fillId="0" borderId="61" xfId="0" applyFont="1" applyFill="1" applyBorder="1" applyAlignment="1">
      <alignment vertical="center" wrapText="1"/>
    </xf>
    <xf numFmtId="0" fontId="0" fillId="0" borderId="53" xfId="0" applyBorder="1" applyAlignment="1">
      <alignment horizontal="center" vertical="center"/>
    </xf>
    <xf numFmtId="0" fontId="3" fillId="4" borderId="18" xfId="0" applyFont="1" applyFill="1" applyBorder="1" applyAlignment="1">
      <alignment vertical="center" wrapText="1"/>
    </xf>
    <xf numFmtId="0" fontId="8" fillId="0" borderId="64" xfId="0" applyFont="1" applyFill="1" applyBorder="1" applyAlignment="1">
      <alignment vertical="center" wrapText="1"/>
    </xf>
    <xf numFmtId="0" fontId="25" fillId="0" borderId="60" xfId="0" applyFont="1" applyFill="1" applyBorder="1" applyAlignment="1">
      <alignment horizontal="center" vertical="center" wrapText="1"/>
    </xf>
    <xf numFmtId="0" fontId="4" fillId="6" borderId="51" xfId="0" applyFont="1" applyFill="1" applyBorder="1" applyAlignment="1">
      <alignment horizontal="left" vertical="center" wrapText="1"/>
    </xf>
    <xf numFmtId="0" fontId="5" fillId="6" borderId="53" xfId="0" applyFont="1" applyFill="1" applyBorder="1" applyAlignment="1">
      <alignment horizontal="left" vertical="center" wrapText="1"/>
    </xf>
    <xf numFmtId="0" fontId="3" fillId="6" borderId="54" xfId="0" applyFont="1" applyFill="1" applyBorder="1" applyAlignment="1">
      <alignment horizontal="center" vertical="center" wrapText="1"/>
    </xf>
    <xf numFmtId="0" fontId="8" fillId="14" borderId="58" xfId="0" applyFont="1" applyFill="1" applyBorder="1" applyAlignment="1">
      <alignment horizontal="left" vertical="center" wrapText="1"/>
    </xf>
    <xf numFmtId="0" fontId="3" fillId="14" borderId="38" xfId="0" applyFont="1" applyFill="1" applyBorder="1" applyAlignment="1">
      <alignment horizontal="center" vertical="center" wrapText="1"/>
    </xf>
    <xf numFmtId="0" fontId="8" fillId="14" borderId="20" xfId="0" applyFont="1" applyFill="1" applyBorder="1" applyAlignment="1">
      <alignment horizontal="left" vertical="center" wrapText="1"/>
    </xf>
    <xf numFmtId="0" fontId="23" fillId="14" borderId="65" xfId="0" applyFont="1" applyFill="1" applyBorder="1" applyAlignment="1">
      <alignment horizontal="center" vertical="center" wrapText="1"/>
    </xf>
    <xf numFmtId="0" fontId="8" fillId="14" borderId="77" xfId="0" applyFont="1" applyFill="1" applyBorder="1" applyAlignment="1">
      <alignment horizontal="left" vertical="center" wrapText="1"/>
    </xf>
    <xf numFmtId="0" fontId="8" fillId="14" borderId="2" xfId="0" applyFont="1" applyFill="1" applyBorder="1" applyAlignment="1">
      <alignment vertical="center" wrapText="1"/>
    </xf>
    <xf numFmtId="0" fontId="18" fillId="14" borderId="77" xfId="0" applyFont="1" applyFill="1" applyBorder="1" applyAlignment="1">
      <alignment horizontal="left" vertical="center" wrapText="1"/>
    </xf>
    <xf numFmtId="0" fontId="3" fillId="0" borderId="51" xfId="0" applyFont="1" applyFill="1" applyBorder="1" applyAlignment="1">
      <alignment horizontal="left" vertical="center"/>
    </xf>
    <xf numFmtId="0" fontId="3" fillId="0" borderId="52" xfId="0" applyFont="1" applyFill="1" applyBorder="1" applyAlignment="1">
      <alignment horizontal="left" vertical="center"/>
    </xf>
    <xf numFmtId="0" fontId="0" fillId="0" borderId="54" xfId="0" applyFill="1" applyBorder="1" applyAlignment="1">
      <alignment horizontal="center" vertical="center"/>
    </xf>
    <xf numFmtId="0" fontId="18" fillId="0" borderId="74" xfId="0" applyFont="1" applyFill="1" applyBorder="1" applyAlignment="1">
      <alignment horizontal="left" vertical="center" wrapText="1"/>
    </xf>
    <xf numFmtId="0" fontId="23" fillId="0" borderId="75" xfId="0" applyFont="1" applyFill="1" applyBorder="1" applyAlignment="1">
      <alignment horizontal="center" vertical="center" wrapText="1"/>
    </xf>
    <xf numFmtId="0" fontId="0" fillId="0" borderId="81" xfId="0" applyBorder="1" applyAlignment="1">
      <alignment horizontal="left" vertical="top"/>
    </xf>
    <xf numFmtId="0" fontId="0" fillId="0" borderId="82" xfId="0" applyBorder="1" applyAlignment="1">
      <alignment horizontal="left" vertical="top"/>
    </xf>
    <xf numFmtId="0" fontId="5" fillId="6" borderId="83" xfId="0" applyFont="1" applyFill="1" applyBorder="1" applyAlignment="1">
      <alignment horizontal="left" vertical="center" wrapText="1"/>
    </xf>
    <xf numFmtId="0" fontId="3" fillId="6" borderId="84" xfId="0" applyFont="1" applyFill="1" applyBorder="1" applyAlignment="1">
      <alignment horizontal="center" vertical="center" wrapText="1"/>
    </xf>
    <xf numFmtId="0" fontId="5" fillId="0" borderId="85" xfId="0" applyFont="1" applyFill="1" applyBorder="1" applyAlignment="1">
      <alignment horizontal="left" vertical="center" wrapText="1"/>
    </xf>
    <xf numFmtId="0" fontId="3" fillId="0" borderId="86" xfId="0" applyFont="1" applyFill="1" applyBorder="1" applyAlignment="1">
      <alignment horizontal="center" vertical="center" wrapText="1"/>
    </xf>
    <xf numFmtId="0" fontId="3" fillId="0" borderId="87" xfId="0" applyFont="1" applyFill="1" applyBorder="1" applyAlignment="1">
      <alignment horizontal="left" vertical="center"/>
    </xf>
    <xf numFmtId="0" fontId="29" fillId="0" borderId="48" xfId="0" applyFont="1" applyFill="1" applyBorder="1" applyAlignment="1">
      <alignment horizontal="center" vertical="center"/>
    </xf>
    <xf numFmtId="0" fontId="29" fillId="0" borderId="69" xfId="0" applyFont="1" applyFill="1" applyBorder="1" applyAlignment="1">
      <alignment horizontal="center" vertical="center"/>
    </xf>
    <xf numFmtId="0" fontId="3" fillId="0" borderId="47" xfId="0" applyFont="1" applyFill="1" applyBorder="1" applyAlignment="1">
      <alignment horizontal="left" vertical="center"/>
    </xf>
    <xf numFmtId="0" fontId="3" fillId="0" borderId="72" xfId="0" applyFont="1" applyFill="1" applyBorder="1" applyAlignment="1">
      <alignment horizontal="left" vertical="center"/>
    </xf>
    <xf numFmtId="0" fontId="3" fillId="6" borderId="59" xfId="0" applyFont="1" applyFill="1" applyBorder="1" applyAlignment="1">
      <alignment horizontal="center" vertical="center" wrapText="1"/>
    </xf>
    <xf numFmtId="0" fontId="0" fillId="0" borderId="69" xfId="0" applyBorder="1" applyAlignment="1">
      <alignment horizontal="center" vertical="center"/>
    </xf>
    <xf numFmtId="0" fontId="3" fillId="0" borderId="59" xfId="0" applyFont="1" applyFill="1" applyBorder="1" applyAlignment="1">
      <alignment horizontal="left" vertical="center"/>
    </xf>
    <xf numFmtId="0" fontId="0" fillId="0" borderId="69" xfId="0" applyFill="1" applyBorder="1" applyAlignment="1">
      <alignment horizontal="center" vertical="center"/>
    </xf>
    <xf numFmtId="0" fontId="0" fillId="0" borderId="48" xfId="0" applyFill="1" applyBorder="1" applyAlignment="1">
      <alignment horizontal="center" vertical="center"/>
    </xf>
    <xf numFmtId="0" fontId="3" fillId="0" borderId="59" xfId="0" applyFont="1" applyFill="1" applyBorder="1" applyAlignment="1">
      <alignment horizontal="center" vertical="center" wrapText="1"/>
    </xf>
    <xf numFmtId="0" fontId="3" fillId="0" borderId="47" xfId="0" applyFont="1" applyFill="1" applyBorder="1" applyAlignment="1">
      <alignment horizontal="center" vertical="center" wrapText="1"/>
    </xf>
    <xf numFmtId="0" fontId="3" fillId="0" borderId="72" xfId="0" applyFont="1" applyFill="1" applyBorder="1" applyAlignment="1">
      <alignment horizontal="left" vertical="center" wrapText="1"/>
    </xf>
    <xf numFmtId="0" fontId="0" fillId="0" borderId="88" xfId="0" applyFill="1" applyBorder="1" applyAlignment="1">
      <alignment horizontal="center" vertical="center"/>
    </xf>
    <xf numFmtId="0" fontId="3" fillId="0" borderId="62" xfId="0" applyFont="1" applyFill="1" applyBorder="1" applyAlignment="1">
      <alignment horizontal="center" vertical="center" wrapText="1"/>
    </xf>
    <xf numFmtId="0" fontId="0" fillId="0" borderId="73" xfId="0" applyFill="1" applyBorder="1" applyAlignment="1">
      <alignment horizontal="center" vertical="center"/>
    </xf>
    <xf numFmtId="0" fontId="3" fillId="0" borderId="47" xfId="0" applyFont="1" applyFill="1" applyBorder="1" applyAlignment="1">
      <alignment horizontal="left" vertical="center" wrapText="1"/>
    </xf>
    <xf numFmtId="0" fontId="3" fillId="6" borderId="62" xfId="0" applyFont="1" applyFill="1" applyBorder="1" applyAlignment="1">
      <alignment horizontal="center" vertical="center" wrapText="1"/>
    </xf>
    <xf numFmtId="0" fontId="3" fillId="0" borderId="62" xfId="0" applyFont="1" applyFill="1" applyBorder="1" applyAlignment="1">
      <alignment horizontal="left" vertical="center" wrapText="1"/>
    </xf>
    <xf numFmtId="0" fontId="3" fillId="0" borderId="87" xfId="0" applyFont="1" applyFill="1" applyBorder="1" applyAlignment="1">
      <alignment horizontal="left" vertical="center" wrapText="1"/>
    </xf>
    <xf numFmtId="0" fontId="3" fillId="0" borderId="87" xfId="0" applyFont="1" applyFill="1" applyBorder="1" applyAlignment="1">
      <alignment horizontal="center" vertical="center" wrapText="1"/>
    </xf>
    <xf numFmtId="0" fontId="25" fillId="0" borderId="47" xfId="0" applyFont="1" applyFill="1" applyBorder="1" applyAlignment="1">
      <alignment horizontal="center" vertical="center" wrapText="1"/>
    </xf>
    <xf numFmtId="0" fontId="3" fillId="0" borderId="72" xfId="0" applyFont="1" applyFill="1" applyBorder="1" applyAlignment="1">
      <alignment horizontal="center" vertical="center" wrapText="1"/>
    </xf>
    <xf numFmtId="0" fontId="3" fillId="0" borderId="59" xfId="0" applyFont="1" applyFill="1" applyBorder="1" applyAlignment="1">
      <alignment horizontal="left" vertical="center" wrapText="1"/>
    </xf>
    <xf numFmtId="0" fontId="23" fillId="0" borderId="62" xfId="0" applyFont="1" applyFill="1" applyBorder="1" applyAlignment="1">
      <alignment horizontal="center" vertical="center" wrapText="1"/>
    </xf>
    <xf numFmtId="0" fontId="3" fillId="6" borderId="72" xfId="0" applyFont="1" applyFill="1" applyBorder="1" applyAlignment="1">
      <alignment horizontal="center" vertical="center" wrapText="1"/>
    </xf>
    <xf numFmtId="0" fontId="0" fillId="0" borderId="69" xfId="0" applyBorder="1" applyAlignment="1">
      <alignment horizontal="left" vertical="center"/>
    </xf>
    <xf numFmtId="0" fontId="0" fillId="0" borderId="73" xfId="0" applyBorder="1" applyAlignment="1">
      <alignment horizontal="left" vertical="top"/>
    </xf>
    <xf numFmtId="0" fontId="0" fillId="0" borderId="48" xfId="0" applyFill="1" applyBorder="1" applyAlignment="1">
      <alignment horizontal="left" vertical="top"/>
    </xf>
    <xf numFmtId="0" fontId="3" fillId="0" borderId="72" xfId="0" applyFont="1" applyFill="1" applyBorder="1" applyAlignment="1">
      <alignment horizontal="right" vertical="center"/>
    </xf>
    <xf numFmtId="0" fontId="3" fillId="0" borderId="47" xfId="0" applyFont="1" applyFill="1" applyBorder="1" applyAlignment="1">
      <alignment horizontal="right" vertical="center" wrapText="1"/>
    </xf>
    <xf numFmtId="0" fontId="25" fillId="0" borderId="62" xfId="0" applyFont="1" applyFill="1" applyBorder="1" applyAlignment="1">
      <alignment vertical="center" wrapText="1"/>
    </xf>
    <xf numFmtId="0" fontId="25" fillId="0" borderId="62" xfId="0" applyFont="1" applyFill="1" applyBorder="1" applyAlignment="1">
      <alignment horizontal="center" vertical="center" wrapText="1"/>
    </xf>
    <xf numFmtId="0" fontId="3" fillId="0" borderId="89" xfId="0" applyFont="1" applyFill="1" applyBorder="1" applyAlignment="1">
      <alignment horizontal="center" vertical="center" wrapText="1"/>
    </xf>
    <xf numFmtId="0" fontId="3" fillId="0" borderId="90" xfId="0" applyFont="1" applyFill="1" applyBorder="1" applyAlignment="1">
      <alignment horizontal="center" vertical="center" wrapText="1"/>
    </xf>
    <xf numFmtId="0" fontId="0" fillId="0" borderId="91" xfId="0" applyBorder="1" applyAlignment="1">
      <alignment horizontal="center" vertical="center"/>
    </xf>
    <xf numFmtId="0" fontId="4" fillId="9" borderId="92" xfId="0" applyFont="1" applyFill="1" applyBorder="1" applyAlignment="1">
      <alignment horizontal="left" vertical="center" wrapText="1"/>
    </xf>
    <xf numFmtId="0" fontId="3" fillId="9" borderId="93" xfId="0" applyFont="1" applyFill="1" applyBorder="1" applyAlignment="1">
      <alignment horizontal="center" vertical="center" wrapText="1"/>
    </xf>
    <xf numFmtId="0" fontId="9" fillId="9" borderId="93" xfId="0" applyFont="1" applyFill="1" applyBorder="1" applyAlignment="1">
      <alignment vertical="center" wrapText="1"/>
    </xf>
    <xf numFmtId="0" fontId="4" fillId="9" borderId="93" xfId="0" applyFont="1" applyFill="1" applyBorder="1" applyAlignment="1">
      <alignment vertical="center" wrapText="1"/>
    </xf>
    <xf numFmtId="0" fontId="8" fillId="9" borderId="93" xfId="0" applyFont="1" applyFill="1" applyBorder="1" applyAlignment="1">
      <alignment horizontal="left" vertical="center" wrapText="1"/>
    </xf>
    <xf numFmtId="0" fontId="23" fillId="9" borderId="93" xfId="0" applyFont="1" applyFill="1" applyBorder="1" applyAlignment="1">
      <alignment horizontal="center" vertical="center" wrapText="1"/>
    </xf>
    <xf numFmtId="0" fontId="5" fillId="9" borderId="93" xfId="0" applyFont="1" applyFill="1" applyBorder="1" applyAlignment="1">
      <alignment horizontal="left" vertical="center" wrapText="1"/>
    </xf>
    <xf numFmtId="0" fontId="5" fillId="9" borderId="94" xfId="0" applyFont="1" applyFill="1" applyBorder="1" applyAlignment="1">
      <alignment horizontal="left" vertical="center" wrapText="1"/>
    </xf>
    <xf numFmtId="0" fontId="3" fillId="9" borderId="94" xfId="0" applyFont="1" applyFill="1" applyBorder="1" applyAlignment="1">
      <alignment horizontal="center" vertical="center" wrapText="1"/>
    </xf>
    <xf numFmtId="0" fontId="0" fillId="9" borderId="94" xfId="0" applyFill="1" applyBorder="1" applyAlignment="1">
      <alignment horizontal="center" vertical="center"/>
    </xf>
    <xf numFmtId="0" fontId="37" fillId="9" borderId="93" xfId="0" applyFont="1" applyFill="1" applyBorder="1" applyAlignment="1">
      <alignment horizontal="center" vertical="center"/>
    </xf>
    <xf numFmtId="0" fontId="34" fillId="9" borderId="93" xfId="0" applyFont="1" applyFill="1" applyBorder="1" applyAlignment="1">
      <alignment horizontal="left" vertical="center" wrapText="1"/>
    </xf>
    <xf numFmtId="0" fontId="37" fillId="9" borderId="95" xfId="0" applyFont="1" applyFill="1" applyBorder="1" applyAlignment="1">
      <alignment horizontal="center" vertical="center"/>
    </xf>
    <xf numFmtId="0" fontId="33" fillId="12" borderId="0" xfId="0" applyFont="1" applyFill="1" applyBorder="1" applyAlignment="1">
      <alignment vertical="center" wrapText="1"/>
    </xf>
    <xf numFmtId="0" fontId="3" fillId="12" borderId="17" xfId="0" applyFont="1" applyFill="1" applyBorder="1" applyAlignment="1">
      <alignment horizontal="center" vertical="top" wrapText="1"/>
    </xf>
    <xf numFmtId="0" fontId="16" fillId="17" borderId="0" xfId="0" applyFont="1" applyFill="1" applyBorder="1" applyAlignment="1">
      <alignment horizontal="left" vertical="center" wrapText="1"/>
    </xf>
    <xf numFmtId="0" fontId="4" fillId="8" borderId="1" xfId="0" applyFont="1" applyFill="1" applyBorder="1" applyAlignment="1">
      <alignment horizontal="left" vertical="center" wrapText="1"/>
    </xf>
    <xf numFmtId="0" fontId="25" fillId="8" borderId="38" xfId="0" applyFont="1" applyFill="1" applyBorder="1" applyAlignment="1">
      <alignment horizontal="center" vertical="center" wrapText="1"/>
    </xf>
    <xf numFmtId="0" fontId="4" fillId="20" borderId="1" xfId="0" applyFont="1" applyFill="1" applyBorder="1" applyAlignment="1">
      <alignment horizontal="left" vertical="center" wrapText="1"/>
    </xf>
    <xf numFmtId="0" fontId="25" fillId="20" borderId="38" xfId="0" applyFont="1" applyFill="1" applyBorder="1" applyAlignment="1">
      <alignment horizontal="center" vertical="center" wrapText="1"/>
    </xf>
    <xf numFmtId="0" fontId="4" fillId="20" borderId="7" xfId="0" applyFont="1" applyFill="1" applyBorder="1" applyAlignment="1">
      <alignment horizontal="left" vertical="center" wrapText="1"/>
    </xf>
    <xf numFmtId="0" fontId="40" fillId="20" borderId="58" xfId="0" applyFont="1" applyFill="1" applyBorder="1" applyAlignment="1">
      <alignment horizontal="left" vertical="center" wrapText="1"/>
    </xf>
    <xf numFmtId="0" fontId="4" fillId="20" borderId="34" xfId="0" applyFont="1" applyFill="1" applyBorder="1" applyAlignment="1">
      <alignment horizontal="left" vertical="center" wrapText="1"/>
    </xf>
    <xf numFmtId="0" fontId="25" fillId="20" borderId="32" xfId="0" applyFont="1" applyFill="1" applyBorder="1" applyAlignment="1">
      <alignment horizontal="center" vertical="center" wrapText="1"/>
    </xf>
    <xf numFmtId="0" fontId="4" fillId="20" borderId="77" xfId="0" applyFont="1" applyFill="1" applyBorder="1" applyAlignment="1">
      <alignment horizontal="left" vertical="center" wrapText="1"/>
    </xf>
    <xf numFmtId="0" fontId="4" fillId="20" borderId="2" xfId="0" applyFont="1" applyFill="1" applyBorder="1" applyAlignment="1">
      <alignment horizontal="left" vertical="center" wrapText="1"/>
    </xf>
    <xf numFmtId="0" fontId="21" fillId="14" borderId="20" xfId="0" applyFont="1" applyFill="1" applyBorder="1" applyAlignment="1">
      <alignment horizontal="left" vertical="center" wrapText="1"/>
    </xf>
    <xf numFmtId="0" fontId="25" fillId="20" borderId="17" xfId="0" applyFont="1" applyFill="1" applyBorder="1" applyAlignment="1">
      <alignment horizontal="center" vertical="center" wrapText="1"/>
    </xf>
    <xf numFmtId="0" fontId="4" fillId="20" borderId="58" xfId="0" applyFont="1" applyFill="1" applyBorder="1" applyAlignment="1">
      <alignment horizontal="left" vertical="center" wrapText="1"/>
    </xf>
    <xf numFmtId="0" fontId="4" fillId="20" borderId="2" xfId="0" applyFont="1" applyFill="1" applyBorder="1" applyAlignment="1">
      <alignment vertical="center" wrapText="1"/>
    </xf>
    <xf numFmtId="0" fontId="19" fillId="13" borderId="7" xfId="0" applyFont="1" applyFill="1" applyBorder="1" applyAlignment="1">
      <alignment vertical="center" wrapText="1"/>
    </xf>
    <xf numFmtId="0" fontId="24" fillId="13" borderId="17" xfId="0" applyFont="1" applyFill="1" applyBorder="1" applyAlignment="1">
      <alignment vertical="center" wrapText="1"/>
    </xf>
    <xf numFmtId="0" fontId="0" fillId="15" borderId="7" xfId="0" applyFill="1" applyBorder="1" applyAlignment="1">
      <alignment horizontal="center" vertical="center"/>
    </xf>
    <xf numFmtId="0" fontId="0" fillId="15" borderId="18" xfId="0" applyFill="1" applyBorder="1" applyAlignment="1">
      <alignment horizontal="center" vertical="center"/>
    </xf>
    <xf numFmtId="0" fontId="4" fillId="13" borderId="2" xfId="0" applyFont="1" applyFill="1" applyBorder="1" applyAlignment="1">
      <alignment horizontal="left" vertical="center" wrapText="1"/>
    </xf>
    <xf numFmtId="0" fontId="25" fillId="13" borderId="37" xfId="0" applyFont="1" applyFill="1" applyBorder="1" applyAlignment="1">
      <alignment horizontal="center" vertical="center" wrapText="1"/>
    </xf>
    <xf numFmtId="0" fontId="16" fillId="12" borderId="0" xfId="0" applyFont="1" applyFill="1" applyBorder="1" applyAlignment="1">
      <alignment vertical="center" wrapText="1"/>
    </xf>
    <xf numFmtId="0" fontId="3" fillId="12" borderId="17" xfId="0" applyFont="1" applyFill="1" applyBorder="1" applyAlignment="1">
      <alignment vertical="center" wrapText="1"/>
    </xf>
    <xf numFmtId="0" fontId="4" fillId="12" borderId="4" xfId="0" applyFont="1" applyFill="1" applyBorder="1" applyAlignment="1">
      <alignment horizontal="left" vertical="center" wrapText="1"/>
    </xf>
    <xf numFmtId="0" fontId="3" fillId="12" borderId="32" xfId="0" applyFont="1" applyFill="1" applyBorder="1" applyAlignment="1">
      <alignment horizontal="center" vertical="center" wrapText="1"/>
    </xf>
    <xf numFmtId="0" fontId="4" fillId="12" borderId="9" xfId="0" applyFont="1" applyFill="1" applyBorder="1" applyAlignment="1">
      <alignment horizontal="left" vertical="center" wrapText="1"/>
    </xf>
    <xf numFmtId="0" fontId="8" fillId="14" borderId="9" xfId="0" applyFont="1" applyFill="1" applyBorder="1" applyAlignment="1">
      <alignment horizontal="left" vertical="center" wrapText="1"/>
    </xf>
    <xf numFmtId="0" fontId="8" fillId="14" borderId="66" xfId="0" applyFont="1" applyFill="1" applyBorder="1" applyAlignment="1">
      <alignment horizontal="left" vertical="center" wrapText="1"/>
    </xf>
    <xf numFmtId="0" fontId="23" fillId="14" borderId="67" xfId="0" applyFont="1" applyFill="1" applyBorder="1" applyAlignment="1">
      <alignment horizontal="center" vertical="center" wrapText="1"/>
    </xf>
    <xf numFmtId="0" fontId="4" fillId="15" borderId="8" xfId="0" applyFont="1" applyFill="1" applyBorder="1" applyAlignment="1">
      <alignment vertical="center" wrapText="1"/>
    </xf>
    <xf numFmtId="0" fontId="4" fillId="13" borderId="1" xfId="0" applyFont="1" applyFill="1" applyBorder="1" applyAlignment="1">
      <alignment vertical="center" wrapText="1"/>
    </xf>
    <xf numFmtId="0" fontId="4" fillId="12" borderId="1" xfId="0" applyFont="1" applyFill="1" applyBorder="1" applyAlignment="1">
      <alignment horizontal="left" vertical="center" wrapText="1"/>
    </xf>
    <xf numFmtId="0" fontId="25" fillId="12" borderId="38" xfId="0" applyFont="1" applyFill="1" applyBorder="1" applyAlignment="1">
      <alignment horizontal="center" vertical="center" wrapText="1"/>
    </xf>
    <xf numFmtId="0" fontId="4" fillId="12" borderId="77" xfId="0" applyFont="1" applyFill="1" applyBorder="1" applyAlignment="1">
      <alignment horizontal="left" vertical="center" wrapText="1"/>
    </xf>
    <xf numFmtId="0" fontId="37" fillId="0" borderId="39" xfId="0" applyFont="1" applyFill="1" applyBorder="1" applyAlignment="1">
      <alignment horizontal="center" vertical="center"/>
    </xf>
    <xf numFmtId="0" fontId="34" fillId="6" borderId="96" xfId="0" applyFont="1" applyFill="1" applyBorder="1" applyAlignment="1">
      <alignment horizontal="left" vertical="center" wrapText="1"/>
    </xf>
    <xf numFmtId="0" fontId="37" fillId="0" borderId="40" xfId="0" applyFont="1" applyBorder="1" applyAlignment="1">
      <alignment horizontal="center" vertical="center"/>
    </xf>
    <xf numFmtId="0" fontId="38" fillId="15" borderId="23" xfId="0" applyFont="1" applyFill="1" applyBorder="1" applyAlignment="1">
      <alignment horizontal="center" vertical="center"/>
    </xf>
    <xf numFmtId="0" fontId="38" fillId="0" borderId="26" xfId="0" applyFont="1" applyBorder="1" applyAlignment="1">
      <alignment horizontal="center" vertical="center"/>
    </xf>
    <xf numFmtId="0" fontId="38" fillId="0" borderId="28" xfId="0" applyFont="1" applyBorder="1" applyAlignment="1">
      <alignment horizontal="center" vertical="center"/>
    </xf>
    <xf numFmtId="0" fontId="38" fillId="0" borderId="30" xfId="0" applyFont="1" applyBorder="1" applyAlignment="1">
      <alignment horizontal="center" vertical="center"/>
    </xf>
    <xf numFmtId="0" fontId="38" fillId="17" borderId="23" xfId="0" applyFont="1" applyFill="1" applyBorder="1" applyAlignment="1">
      <alignment horizontal="center" vertical="center"/>
    </xf>
    <xf numFmtId="0" fontId="38" fillId="0" borderId="96" xfId="0" applyFont="1" applyBorder="1" applyAlignment="1">
      <alignment horizontal="center" vertical="center"/>
    </xf>
    <xf numFmtId="0" fontId="16" fillId="11" borderId="22" xfId="0" applyFont="1" applyFill="1" applyBorder="1" applyAlignment="1">
      <alignment horizontal="center" vertical="center"/>
    </xf>
    <xf numFmtId="0" fontId="38" fillId="9" borderId="93" xfId="0" applyFont="1" applyFill="1" applyBorder="1" applyAlignment="1">
      <alignment horizontal="center" vertical="center"/>
    </xf>
    <xf numFmtId="0" fontId="37" fillId="0" borderId="97" xfId="0" applyFont="1" applyFill="1" applyBorder="1" applyAlignment="1">
      <alignment horizontal="center" vertical="center"/>
    </xf>
    <xf numFmtId="0" fontId="34" fillId="6" borderId="98" xfId="0" applyFont="1" applyFill="1" applyBorder="1" applyAlignment="1">
      <alignment horizontal="left" vertical="center" wrapText="1"/>
    </xf>
    <xf numFmtId="0" fontId="38" fillId="0" borderId="98" xfId="0" applyFont="1" applyBorder="1" applyAlignment="1">
      <alignment horizontal="center" vertical="center"/>
    </xf>
    <xf numFmtId="0" fontId="37" fillId="0" borderId="99" xfId="0" applyFont="1" applyBorder="1" applyAlignment="1">
      <alignment horizontal="center" vertical="center"/>
    </xf>
    <xf numFmtId="0" fontId="37" fillId="15" borderId="100" xfId="0" quotePrefix="1" applyFont="1" applyFill="1" applyBorder="1" applyAlignment="1">
      <alignment horizontal="center" vertical="center"/>
    </xf>
    <xf numFmtId="0" fontId="38" fillId="15" borderId="100" xfId="0" quotePrefix="1" applyFont="1" applyFill="1" applyBorder="1" applyAlignment="1">
      <alignment horizontal="center" vertical="center"/>
    </xf>
    <xf numFmtId="0" fontId="37" fillId="15" borderId="100" xfId="0" applyFont="1" applyFill="1" applyBorder="1" applyAlignment="1">
      <alignment horizontal="center" vertical="center"/>
    </xf>
    <xf numFmtId="0" fontId="37" fillId="0" borderId="103" xfId="0" applyFont="1" applyFill="1" applyBorder="1" applyAlignment="1">
      <alignment horizontal="center" vertical="center"/>
    </xf>
    <xf numFmtId="0" fontId="34" fillId="6" borderId="104" xfId="0" applyFont="1" applyFill="1" applyBorder="1" applyAlignment="1">
      <alignment horizontal="left" vertical="center" wrapText="1"/>
    </xf>
    <xf numFmtId="0" fontId="37" fillId="0" borderId="105" xfId="0" applyFont="1" applyFill="1" applyBorder="1" applyAlignment="1">
      <alignment horizontal="center" vertical="center"/>
    </xf>
    <xf numFmtId="0" fontId="34" fillId="6" borderId="106" xfId="0" applyFont="1" applyFill="1" applyBorder="1" applyAlignment="1">
      <alignment horizontal="left" vertical="center" wrapText="1"/>
    </xf>
    <xf numFmtId="0" fontId="37" fillId="0" borderId="107" xfId="0" applyFont="1" applyFill="1" applyBorder="1" applyAlignment="1">
      <alignment horizontal="center" vertical="center"/>
    </xf>
    <xf numFmtId="0" fontId="34" fillId="6" borderId="108" xfId="0" applyFont="1" applyFill="1" applyBorder="1" applyAlignment="1">
      <alignment horizontal="left" vertical="center" wrapText="1"/>
    </xf>
    <xf numFmtId="0" fontId="37" fillId="0" borderId="74" xfId="0" applyFont="1" applyFill="1" applyBorder="1" applyAlignment="1">
      <alignment horizontal="center" vertical="center"/>
    </xf>
    <xf numFmtId="0" fontId="34" fillId="6" borderId="109" xfId="0" applyFont="1" applyFill="1" applyBorder="1" applyAlignment="1">
      <alignment horizontal="left" vertical="center" wrapText="1"/>
    </xf>
    <xf numFmtId="0" fontId="38" fillId="0" borderId="109" xfId="0" applyFont="1" applyBorder="1" applyAlignment="1">
      <alignment horizontal="center" vertical="center"/>
    </xf>
    <xf numFmtId="0" fontId="37" fillId="0" borderId="75" xfId="0" applyFont="1" applyBorder="1" applyAlignment="1">
      <alignment horizontal="center" vertical="center"/>
    </xf>
    <xf numFmtId="0" fontId="37" fillId="0" borderId="51" xfId="0" applyFont="1" applyFill="1" applyBorder="1" applyAlignment="1">
      <alignment horizontal="center" vertical="center"/>
    </xf>
    <xf numFmtId="0" fontId="34" fillId="6" borderId="110" xfId="0" applyFont="1" applyFill="1" applyBorder="1" applyAlignment="1">
      <alignment horizontal="left" vertical="center" wrapText="1"/>
    </xf>
    <xf numFmtId="0" fontId="38" fillId="0" borderId="110" xfId="0" applyFont="1" applyBorder="1" applyAlignment="1">
      <alignment horizontal="center" vertical="center"/>
    </xf>
    <xf numFmtId="0" fontId="37" fillId="0" borderId="52" xfId="0" applyFont="1" applyBorder="1" applyAlignment="1">
      <alignment horizontal="center" vertical="center"/>
    </xf>
    <xf numFmtId="0" fontId="37" fillId="0" borderId="79" xfId="0" applyFont="1" applyFill="1" applyBorder="1" applyAlignment="1">
      <alignment horizontal="center" vertical="center"/>
    </xf>
    <xf numFmtId="0" fontId="34" fillId="6" borderId="111" xfId="0" applyFont="1" applyFill="1" applyBorder="1" applyAlignment="1">
      <alignment horizontal="left" vertical="center" wrapText="1"/>
    </xf>
    <xf numFmtId="0" fontId="38" fillId="0" borderId="111" xfId="0" applyFont="1" applyBorder="1" applyAlignment="1">
      <alignment horizontal="center" vertical="center"/>
    </xf>
    <xf numFmtId="0" fontId="37" fillId="0" borderId="80" xfId="0" applyFont="1" applyBorder="1" applyAlignment="1">
      <alignment horizontal="center" vertical="center"/>
    </xf>
    <xf numFmtId="0" fontId="38" fillId="0" borderId="113" xfId="0" applyFont="1" applyBorder="1" applyAlignment="1">
      <alignment horizontal="center" vertical="center"/>
    </xf>
    <xf numFmtId="0" fontId="37" fillId="0" borderId="114" xfId="0" applyFont="1" applyBorder="1" applyAlignment="1">
      <alignment horizontal="center" vertical="center"/>
    </xf>
    <xf numFmtId="0" fontId="38" fillId="0" borderId="116" xfId="0" applyFont="1" applyBorder="1" applyAlignment="1">
      <alignment horizontal="center" vertical="center"/>
    </xf>
    <xf numFmtId="0" fontId="37" fillId="0" borderId="117" xfId="0" applyFont="1" applyBorder="1" applyAlignment="1">
      <alignment horizontal="center" vertical="center"/>
    </xf>
    <xf numFmtId="0" fontId="38" fillId="0" borderId="119" xfId="0" applyFont="1" applyBorder="1" applyAlignment="1">
      <alignment horizontal="center" vertical="center"/>
    </xf>
    <xf numFmtId="0" fontId="37" fillId="0" borderId="120" xfId="0" applyFont="1" applyBorder="1" applyAlignment="1">
      <alignment horizontal="center" vertical="center"/>
    </xf>
    <xf numFmtId="0" fontId="37" fillId="0" borderId="81" xfId="0" applyFont="1" applyFill="1" applyBorder="1" applyAlignment="1">
      <alignment horizontal="center" vertical="center"/>
    </xf>
    <xf numFmtId="0" fontId="34" fillId="6" borderId="121" xfId="0" applyFont="1" applyFill="1" applyBorder="1" applyAlignment="1">
      <alignment horizontal="left" vertical="center" wrapText="1"/>
    </xf>
    <xf numFmtId="0" fontId="38" fillId="0" borderId="121" xfId="0" applyFont="1" applyBorder="1" applyAlignment="1">
      <alignment horizontal="center" vertical="center"/>
    </xf>
    <xf numFmtId="0" fontId="37" fillId="0" borderId="82" xfId="0" applyFont="1" applyBorder="1" applyAlignment="1">
      <alignment horizontal="center" vertical="center"/>
    </xf>
    <xf numFmtId="0" fontId="37" fillId="0" borderId="53" xfId="0" applyFont="1" applyFill="1" applyBorder="1" applyAlignment="1">
      <alignment horizontal="center" vertical="center"/>
    </xf>
    <xf numFmtId="0" fontId="34" fillId="6" borderId="122" xfId="0" applyFont="1" applyFill="1" applyBorder="1" applyAlignment="1">
      <alignment horizontal="left" vertical="center" wrapText="1"/>
    </xf>
    <xf numFmtId="0" fontId="38" fillId="0" borderId="122" xfId="0" applyFont="1" applyBorder="1" applyAlignment="1">
      <alignment horizontal="center" vertical="center"/>
    </xf>
    <xf numFmtId="0" fontId="37" fillId="0" borderId="54" xfId="0" applyFont="1" applyBorder="1" applyAlignment="1">
      <alignment horizontal="center" vertical="center"/>
    </xf>
    <xf numFmtId="0" fontId="37" fillId="0" borderId="41" xfId="0" applyFont="1" applyFill="1" applyBorder="1" applyAlignment="1">
      <alignment horizontal="center" vertical="center"/>
    </xf>
    <xf numFmtId="0" fontId="34" fillId="6" borderId="123" xfId="0" applyFont="1" applyFill="1" applyBorder="1" applyAlignment="1">
      <alignment horizontal="left" vertical="center" wrapText="1"/>
    </xf>
    <xf numFmtId="0" fontId="38" fillId="0" borderId="123" xfId="0" applyFont="1" applyBorder="1" applyAlignment="1">
      <alignment horizontal="center" vertical="center"/>
    </xf>
    <xf numFmtId="0" fontId="37" fillId="0" borderId="42" xfId="0" applyFont="1" applyBorder="1" applyAlignment="1">
      <alignment horizontal="center" vertical="center"/>
    </xf>
    <xf numFmtId="0" fontId="37" fillId="0" borderId="43" xfId="0" applyFont="1" applyFill="1" applyBorder="1" applyAlignment="1">
      <alignment horizontal="center" vertical="center"/>
    </xf>
    <xf numFmtId="0" fontId="34" fillId="6" borderId="124" xfId="0" applyFont="1" applyFill="1" applyBorder="1" applyAlignment="1">
      <alignment horizontal="left" vertical="center" wrapText="1"/>
    </xf>
    <xf numFmtId="0" fontId="38" fillId="0" borderId="124" xfId="0" applyFont="1" applyBorder="1" applyAlignment="1">
      <alignment horizontal="center" vertical="center"/>
    </xf>
    <xf numFmtId="0" fontId="37" fillId="0" borderId="44" xfId="0" applyFont="1" applyBorder="1" applyAlignment="1">
      <alignment horizontal="center" vertical="center"/>
    </xf>
    <xf numFmtId="0" fontId="37" fillId="0" borderId="40" xfId="0" applyFont="1" applyFill="1" applyBorder="1" applyAlignment="1">
      <alignment horizontal="center" vertical="center"/>
    </xf>
    <xf numFmtId="0" fontId="35" fillId="0" borderId="96" xfId="0" applyFont="1" applyFill="1" applyBorder="1" applyAlignment="1">
      <alignment horizontal="left" vertical="center" wrapText="1"/>
    </xf>
    <xf numFmtId="0" fontId="34" fillId="0" borderId="96" xfId="0" applyFont="1" applyFill="1" applyBorder="1" applyAlignment="1">
      <alignment horizontal="left" vertical="center" wrapText="1"/>
    </xf>
    <xf numFmtId="0" fontId="34" fillId="0" borderId="109" xfId="0" applyFont="1" applyFill="1" applyBorder="1" applyAlignment="1">
      <alignment horizontal="left" vertical="center" wrapText="1"/>
    </xf>
    <xf numFmtId="0" fontId="38" fillId="0" borderId="109" xfId="0" applyFont="1" applyFill="1" applyBorder="1" applyAlignment="1">
      <alignment horizontal="center" vertical="center"/>
    </xf>
    <xf numFmtId="0" fontId="37" fillId="0" borderId="75" xfId="0" applyFont="1" applyFill="1" applyBorder="1" applyAlignment="1">
      <alignment horizontal="center" vertical="center"/>
    </xf>
    <xf numFmtId="0" fontId="34" fillId="0" borderId="122" xfId="0" applyFont="1" applyFill="1" applyBorder="1" applyAlignment="1">
      <alignment horizontal="left" vertical="center" wrapText="1"/>
    </xf>
    <xf numFmtId="0" fontId="38" fillId="0" borderId="122" xfId="0" applyFont="1" applyFill="1" applyBorder="1" applyAlignment="1">
      <alignment horizontal="center" vertical="center"/>
    </xf>
    <xf numFmtId="0" fontId="37" fillId="0" borderId="54" xfId="0" applyFont="1" applyFill="1" applyBorder="1" applyAlignment="1">
      <alignment horizontal="center" vertical="center"/>
    </xf>
    <xf numFmtId="0" fontId="35" fillId="0" borderId="109" xfId="0" applyFont="1" applyFill="1" applyBorder="1" applyAlignment="1">
      <alignment horizontal="left" vertical="center" wrapText="1"/>
    </xf>
    <xf numFmtId="0" fontId="38" fillId="0" borderId="110" xfId="0" applyFont="1" applyBorder="1" applyAlignment="1">
      <alignment horizontal="left" vertical="center"/>
    </xf>
    <xf numFmtId="0" fontId="37" fillId="0" borderId="52" xfId="0" applyFont="1" applyBorder="1" applyAlignment="1">
      <alignment horizontal="left" vertical="center"/>
    </xf>
    <xf numFmtId="0" fontId="17" fillId="0" borderId="96" xfId="0" applyFont="1" applyBorder="1" applyAlignment="1">
      <alignment horizontal="left" vertical="center"/>
    </xf>
    <xf numFmtId="0" fontId="17" fillId="0" borderId="109" xfId="0" applyFont="1" applyBorder="1" applyAlignment="1">
      <alignment horizontal="left" vertical="center"/>
    </xf>
    <xf numFmtId="0" fontId="17" fillId="0" borderId="122" xfId="0" applyFont="1" applyBorder="1" applyAlignment="1">
      <alignment horizontal="left" vertical="center"/>
    </xf>
    <xf numFmtId="0" fontId="17" fillId="0" borderId="110" xfId="0" applyFont="1" applyBorder="1" applyAlignment="1">
      <alignment horizontal="left" vertical="center"/>
    </xf>
    <xf numFmtId="0" fontId="38" fillId="15" borderId="25" xfId="0" quotePrefix="1" applyFont="1" applyFill="1" applyBorder="1" applyAlignment="1">
      <alignment horizontal="center" vertical="center"/>
    </xf>
    <xf numFmtId="0" fontId="34" fillId="15" borderId="21" xfId="0" applyFont="1" applyFill="1" applyBorder="1" applyAlignment="1">
      <alignment horizontal="left" vertical="center"/>
    </xf>
    <xf numFmtId="0" fontId="37" fillId="16" borderId="23" xfId="0" quotePrefix="1" applyFont="1" applyFill="1" applyBorder="1" applyAlignment="1">
      <alignment horizontal="center" vertical="center"/>
    </xf>
    <xf numFmtId="0" fontId="34" fillId="16" borderId="24" xfId="0" applyFont="1" applyFill="1" applyBorder="1" applyAlignment="1">
      <alignment horizontal="left" vertical="center"/>
    </xf>
    <xf numFmtId="0" fontId="38" fillId="16" borderId="23" xfId="0" quotePrefix="1" applyFont="1" applyFill="1" applyBorder="1" applyAlignment="1">
      <alignment horizontal="center" vertical="center"/>
    </xf>
    <xf numFmtId="0" fontId="37" fillId="16" borderId="23" xfId="0" applyFont="1" applyFill="1" applyBorder="1" applyAlignment="1">
      <alignment horizontal="center" vertical="center"/>
    </xf>
    <xf numFmtId="0" fontId="37" fillId="13" borderId="23" xfId="0" quotePrefix="1" applyFont="1" applyFill="1" applyBorder="1" applyAlignment="1">
      <alignment horizontal="center" vertical="center"/>
    </xf>
    <xf numFmtId="0" fontId="34" fillId="13" borderId="24" xfId="0" applyFont="1" applyFill="1" applyBorder="1" applyAlignment="1">
      <alignment horizontal="left" vertical="center"/>
    </xf>
    <xf numFmtId="0" fontId="38" fillId="13" borderId="23" xfId="0" quotePrefix="1" applyFont="1" applyFill="1" applyBorder="1" applyAlignment="1">
      <alignment horizontal="center" vertical="center"/>
    </xf>
    <xf numFmtId="0" fontId="37" fillId="13" borderId="23" xfId="0" applyFont="1" applyFill="1" applyBorder="1" applyAlignment="1">
      <alignment horizontal="center" vertical="center"/>
    </xf>
    <xf numFmtId="0" fontId="34" fillId="15" borderId="3" xfId="0" applyFont="1" applyFill="1" applyBorder="1" applyAlignment="1">
      <alignment horizontal="left" vertical="center"/>
    </xf>
    <xf numFmtId="0" fontId="37" fillId="20" borderId="100" xfId="0" quotePrefix="1" applyFont="1" applyFill="1" applyBorder="1" applyAlignment="1">
      <alignment horizontal="center" vertical="center"/>
    </xf>
    <xf numFmtId="0" fontId="34" fillId="20" borderId="3" xfId="0" applyFont="1" applyFill="1" applyBorder="1" applyAlignment="1">
      <alignment horizontal="left" vertical="center" wrapText="1"/>
    </xf>
    <xf numFmtId="0" fontId="38" fillId="20" borderId="100" xfId="0" quotePrefix="1" applyFont="1" applyFill="1" applyBorder="1" applyAlignment="1">
      <alignment horizontal="center" vertical="center"/>
    </xf>
    <xf numFmtId="0" fontId="37" fillId="20" borderId="100" xfId="0" applyFont="1" applyFill="1" applyBorder="1" applyAlignment="1">
      <alignment horizontal="center" vertical="center"/>
    </xf>
    <xf numFmtId="0" fontId="37" fillId="17" borderId="101" xfId="0" quotePrefix="1" applyFont="1" applyFill="1" applyBorder="1" applyAlignment="1">
      <alignment horizontal="center" vertical="center"/>
    </xf>
    <xf numFmtId="0" fontId="34" fillId="17" borderId="102" xfId="0" applyFont="1" applyFill="1" applyBorder="1" applyAlignment="1">
      <alignment horizontal="left" vertical="center"/>
    </xf>
    <xf numFmtId="0" fontId="38" fillId="17" borderId="101" xfId="0" quotePrefix="1" applyFont="1" applyFill="1" applyBorder="1" applyAlignment="1">
      <alignment horizontal="center" vertical="center"/>
    </xf>
    <xf numFmtId="0" fontId="37" fillId="17" borderId="101" xfId="0" applyFont="1" applyFill="1" applyBorder="1" applyAlignment="1">
      <alignment horizontal="center" vertical="center"/>
    </xf>
    <xf numFmtId="0" fontId="37" fillId="20" borderId="101" xfId="0" quotePrefix="1" applyFont="1" applyFill="1" applyBorder="1" applyAlignment="1">
      <alignment horizontal="center" vertical="center"/>
    </xf>
    <xf numFmtId="0" fontId="34" fillId="20" borderId="102" xfId="0" applyFont="1" applyFill="1" applyBorder="1" applyAlignment="1">
      <alignment horizontal="left" vertical="center" wrapText="1"/>
    </xf>
    <xf numFmtId="0" fontId="38" fillId="20" borderId="101" xfId="0" quotePrefix="1" applyFont="1" applyFill="1" applyBorder="1" applyAlignment="1">
      <alignment horizontal="center" vertical="center"/>
    </xf>
    <xf numFmtId="0" fontId="37" fillId="20" borderId="101" xfId="0" applyFont="1" applyFill="1" applyBorder="1" applyAlignment="1">
      <alignment horizontal="center" vertical="center"/>
    </xf>
    <xf numFmtId="0" fontId="34" fillId="15" borderId="24" xfId="0" applyFont="1" applyFill="1" applyBorder="1" applyAlignment="1">
      <alignment horizontal="left" vertical="center"/>
    </xf>
    <xf numFmtId="0" fontId="37" fillId="13" borderId="101" xfId="0" quotePrefix="1" applyFont="1" applyFill="1" applyBorder="1" applyAlignment="1">
      <alignment horizontal="center" vertical="center"/>
    </xf>
    <xf numFmtId="0" fontId="34" fillId="13" borderId="102" xfId="0" applyFont="1" applyFill="1" applyBorder="1" applyAlignment="1">
      <alignment horizontal="left" vertical="center"/>
    </xf>
    <xf numFmtId="0" fontId="38" fillId="13" borderId="101" xfId="0" quotePrefix="1" applyFont="1" applyFill="1" applyBorder="1" applyAlignment="1">
      <alignment horizontal="center" vertical="center"/>
    </xf>
    <xf numFmtId="0" fontId="37" fillId="13" borderId="101" xfId="0" applyFont="1" applyFill="1" applyBorder="1" applyAlignment="1">
      <alignment horizontal="center" vertical="center"/>
    </xf>
    <xf numFmtId="0" fontId="37" fillId="20" borderId="23" xfId="0" quotePrefix="1" applyFont="1" applyFill="1" applyBorder="1" applyAlignment="1">
      <alignment horizontal="center" vertical="center"/>
    </xf>
    <xf numFmtId="0" fontId="34" fillId="20" borderId="24" xfId="0" applyFont="1" applyFill="1" applyBorder="1" applyAlignment="1">
      <alignment horizontal="left" vertical="center" wrapText="1"/>
    </xf>
    <xf numFmtId="0" fontId="38" fillId="20" borderId="23" xfId="0" quotePrefix="1" applyFont="1" applyFill="1" applyBorder="1" applyAlignment="1">
      <alignment horizontal="center" vertical="center"/>
    </xf>
    <xf numFmtId="0" fontId="37" fillId="20" borderId="23" xfId="0" applyFont="1" applyFill="1" applyBorder="1" applyAlignment="1">
      <alignment horizontal="center" vertical="center"/>
    </xf>
    <xf numFmtId="0" fontId="34" fillId="13" borderId="24" xfId="0" applyFont="1" applyFill="1" applyBorder="1" applyAlignment="1">
      <alignment horizontal="left" vertical="center" wrapText="1"/>
    </xf>
    <xf numFmtId="0" fontId="38" fillId="13" borderId="23" xfId="0" applyFont="1" applyFill="1" applyBorder="1" applyAlignment="1">
      <alignment horizontal="center" vertical="center"/>
    </xf>
    <xf numFmtId="0" fontId="38" fillId="20" borderId="23" xfId="0" applyFont="1" applyFill="1" applyBorder="1" applyAlignment="1">
      <alignment horizontal="center" vertical="center"/>
    </xf>
    <xf numFmtId="0" fontId="34" fillId="12" borderId="24" xfId="0" applyFont="1" applyFill="1" applyBorder="1" applyAlignment="1">
      <alignment horizontal="left" vertical="center" wrapText="1"/>
    </xf>
    <xf numFmtId="0" fontId="38" fillId="12" borderId="23" xfId="0" applyFont="1" applyFill="1" applyBorder="1" applyAlignment="1">
      <alignment horizontal="center" vertical="center"/>
    </xf>
    <xf numFmtId="0" fontId="37" fillId="20" borderId="6" xfId="0" quotePrefix="1" applyFont="1" applyFill="1" applyBorder="1" applyAlignment="1">
      <alignment horizontal="center" vertical="center"/>
    </xf>
    <xf numFmtId="0" fontId="34" fillId="20" borderId="6" xfId="0" applyFont="1" applyFill="1" applyBorder="1" applyAlignment="1">
      <alignment horizontal="left" vertical="center" wrapText="1"/>
    </xf>
    <xf numFmtId="0" fontId="38" fillId="20" borderId="22" xfId="0" applyFont="1" applyFill="1" applyBorder="1" applyAlignment="1">
      <alignment horizontal="center" vertical="center"/>
    </xf>
    <xf numFmtId="0" fontId="37" fillId="20" borderId="22" xfId="0" applyFont="1" applyFill="1" applyBorder="1" applyAlignment="1">
      <alignment horizontal="center" vertical="center"/>
    </xf>
    <xf numFmtId="0" fontId="31" fillId="20" borderId="23" xfId="0" quotePrefix="1" applyFont="1" applyFill="1" applyBorder="1" applyAlignment="1">
      <alignment horizontal="center" vertical="center"/>
    </xf>
    <xf numFmtId="0" fontId="36" fillId="20" borderId="24" xfId="0" applyFont="1" applyFill="1" applyBorder="1" applyAlignment="1">
      <alignment horizontal="left" vertical="center" wrapText="1"/>
    </xf>
    <xf numFmtId="0" fontId="22" fillId="20" borderId="23" xfId="0" applyFont="1" applyFill="1" applyBorder="1" applyAlignment="1">
      <alignment horizontal="center" vertical="center"/>
    </xf>
    <xf numFmtId="0" fontId="34" fillId="20" borderId="24" xfId="0" applyFont="1" applyFill="1" applyBorder="1" applyAlignment="1">
      <alignment horizontal="left" vertical="center"/>
    </xf>
    <xf numFmtId="0" fontId="4" fillId="13" borderId="4" xfId="0" applyFont="1" applyFill="1" applyBorder="1" applyAlignment="1">
      <alignment horizontal="left" vertical="center" wrapText="1"/>
    </xf>
    <xf numFmtId="0" fontId="3" fillId="13" borderId="32" xfId="0" applyFont="1" applyFill="1" applyBorder="1" applyAlignment="1">
      <alignment horizontal="center" vertical="center" wrapText="1"/>
    </xf>
    <xf numFmtId="0" fontId="4" fillId="15" borderId="9" xfId="0" applyFont="1" applyFill="1" applyBorder="1" applyAlignment="1">
      <alignment horizontal="left" vertical="center" wrapText="1"/>
    </xf>
    <xf numFmtId="0" fontId="31" fillId="15" borderId="0" xfId="0" applyFont="1" applyFill="1" applyBorder="1" applyAlignment="1">
      <alignment horizontal="left" vertical="center" wrapText="1"/>
    </xf>
    <xf numFmtId="0" fontId="8" fillId="12" borderId="0" xfId="0" applyFont="1" applyFill="1" applyBorder="1" applyAlignment="1">
      <alignment horizontal="left" vertical="center" wrapText="1"/>
    </xf>
    <xf numFmtId="0" fontId="23" fillId="12" borderId="17" xfId="0" applyFont="1" applyFill="1" applyBorder="1" applyAlignment="1">
      <alignment horizontal="center" vertical="center" wrapText="1"/>
    </xf>
    <xf numFmtId="0" fontId="4" fillId="13" borderId="68" xfId="0" applyFont="1" applyFill="1" applyBorder="1" applyAlignment="1">
      <alignment horizontal="left" vertical="center" wrapText="1"/>
    </xf>
    <xf numFmtId="0" fontId="37" fillId="13" borderId="6" xfId="0" quotePrefix="1" applyFont="1" applyFill="1" applyBorder="1" applyAlignment="1">
      <alignment horizontal="center" vertical="center"/>
    </xf>
    <xf numFmtId="0" fontId="34" fillId="13" borderId="6" xfId="0" applyFont="1" applyFill="1" applyBorder="1" applyAlignment="1">
      <alignment horizontal="left" vertical="center" wrapText="1"/>
    </xf>
    <xf numFmtId="0" fontId="38" fillId="13" borderId="22" xfId="0" applyFont="1" applyFill="1" applyBorder="1" applyAlignment="1">
      <alignment horizontal="center" vertical="center"/>
    </xf>
    <xf numFmtId="0" fontId="37" fillId="13" borderId="22" xfId="0" applyFont="1" applyFill="1" applyBorder="1" applyAlignment="1">
      <alignment horizontal="center" vertical="center"/>
    </xf>
    <xf numFmtId="0" fontId="37" fillId="20" borderId="35" xfId="0" quotePrefix="1" applyFont="1" applyFill="1" applyBorder="1" applyAlignment="1">
      <alignment horizontal="center" vertical="center"/>
    </xf>
    <xf numFmtId="0" fontId="34" fillId="20" borderId="36" xfId="0" applyFont="1" applyFill="1" applyBorder="1" applyAlignment="1">
      <alignment horizontal="left" vertical="center" wrapText="1"/>
    </xf>
    <xf numFmtId="0" fontId="38" fillId="20" borderId="35" xfId="0" applyFont="1" applyFill="1" applyBorder="1" applyAlignment="1">
      <alignment horizontal="center" vertical="center"/>
    </xf>
    <xf numFmtId="0" fontId="37" fillId="20" borderId="35" xfId="0" applyFont="1" applyFill="1" applyBorder="1" applyAlignment="1">
      <alignment horizontal="center" vertical="center"/>
    </xf>
    <xf numFmtId="0" fontId="41" fillId="19" borderId="1" xfId="0" applyFont="1" applyFill="1" applyBorder="1" applyAlignment="1">
      <alignment horizontal="left" vertical="center" wrapText="1"/>
    </xf>
    <xf numFmtId="0" fontId="42" fillId="19" borderId="38" xfId="0" applyFont="1" applyFill="1" applyBorder="1" applyAlignment="1">
      <alignment horizontal="center" vertical="center" wrapText="1"/>
    </xf>
    <xf numFmtId="0" fontId="37" fillId="19" borderId="23" xfId="0" quotePrefix="1" applyFont="1" applyFill="1" applyBorder="1" applyAlignment="1">
      <alignment horizontal="center" vertical="center"/>
    </xf>
    <xf numFmtId="0" fontId="34" fillId="19" borderId="24" xfId="0" applyFont="1" applyFill="1" applyBorder="1" applyAlignment="1">
      <alignment horizontal="left" vertical="center" wrapText="1"/>
    </xf>
    <xf numFmtId="0" fontId="38" fillId="19" borderId="23" xfId="0" applyFont="1" applyFill="1" applyBorder="1" applyAlignment="1">
      <alignment horizontal="center" vertical="center"/>
    </xf>
    <xf numFmtId="0" fontId="37" fillId="19" borderId="23" xfId="0" applyFont="1" applyFill="1" applyBorder="1" applyAlignment="1">
      <alignment horizontal="center" vertical="center"/>
    </xf>
    <xf numFmtId="0" fontId="30" fillId="11" borderId="6" xfId="0" applyFont="1" applyFill="1" applyBorder="1" applyAlignment="1">
      <alignment horizontal="left" vertical="center" wrapText="1"/>
    </xf>
    <xf numFmtId="0" fontId="37" fillId="11" borderId="23" xfId="0" quotePrefix="1" applyFont="1" applyFill="1" applyBorder="1" applyAlignment="1">
      <alignment horizontal="center" vertical="center"/>
    </xf>
    <xf numFmtId="0" fontId="32" fillId="20" borderId="23" xfId="0" quotePrefix="1" applyFont="1" applyFill="1" applyBorder="1" applyAlignment="1">
      <alignment horizontal="center" vertical="center"/>
    </xf>
    <xf numFmtId="0" fontId="32" fillId="0" borderId="109" xfId="0" applyFont="1" applyFill="1" applyBorder="1" applyAlignment="1">
      <alignment horizontal="center" vertical="center"/>
    </xf>
    <xf numFmtId="0" fontId="32" fillId="0" borderId="122" xfId="0" applyFont="1" applyFill="1" applyBorder="1" applyAlignment="1">
      <alignment horizontal="center" vertical="center"/>
    </xf>
    <xf numFmtId="0" fontId="32" fillId="15" borderId="23" xfId="0" quotePrefix="1" applyFont="1" applyFill="1" applyBorder="1" applyAlignment="1">
      <alignment horizontal="center" vertical="center"/>
    </xf>
    <xf numFmtId="0" fontId="32" fillId="0" borderId="96" xfId="0" applyFont="1" applyBorder="1" applyAlignment="1">
      <alignment horizontal="center" vertical="center"/>
    </xf>
    <xf numFmtId="0" fontId="32" fillId="17" borderId="23" xfId="0" quotePrefix="1" applyFont="1" applyFill="1" applyBorder="1" applyAlignment="1">
      <alignment horizontal="center" vertical="center"/>
    </xf>
    <xf numFmtId="0" fontId="32" fillId="0" borderId="109" xfId="0" applyFont="1" applyBorder="1" applyAlignment="1">
      <alignment horizontal="center" vertical="center"/>
    </xf>
    <xf numFmtId="0" fontId="32" fillId="0" borderId="122" xfId="0" applyFont="1" applyBorder="1" applyAlignment="1">
      <alignment horizontal="center" vertical="center"/>
    </xf>
    <xf numFmtId="0" fontId="32" fillId="20" borderId="23" xfId="0" applyFont="1" applyFill="1" applyBorder="1" applyAlignment="1">
      <alignment horizontal="center" vertical="center"/>
    </xf>
    <xf numFmtId="0" fontId="32" fillId="12" borderId="23" xfId="0" applyFont="1" applyFill="1" applyBorder="1" applyAlignment="1">
      <alignment horizontal="center" vertical="center"/>
    </xf>
    <xf numFmtId="0" fontId="32" fillId="13" borderId="23" xfId="0" applyFont="1" applyFill="1" applyBorder="1" applyAlignment="1">
      <alignment horizontal="center" vertical="center"/>
    </xf>
    <xf numFmtId="0" fontId="32" fillId="11" borderId="22" xfId="0" applyFont="1" applyFill="1" applyBorder="1" applyAlignment="1">
      <alignment horizontal="center" vertical="center"/>
    </xf>
    <xf numFmtId="0" fontId="32" fillId="15" borderId="23" xfId="0" applyFont="1" applyFill="1" applyBorder="1" applyAlignment="1">
      <alignment horizontal="center" vertical="center"/>
    </xf>
    <xf numFmtId="0" fontId="32" fillId="13" borderId="23" xfId="0" quotePrefix="1" applyFont="1" applyFill="1" applyBorder="1" applyAlignment="1">
      <alignment horizontal="center" vertical="center"/>
    </xf>
    <xf numFmtId="0" fontId="32" fillId="0" borderId="96" xfId="0" applyFont="1" applyBorder="1" applyAlignment="1">
      <alignment horizontal="left" vertical="top"/>
    </xf>
    <xf numFmtId="0" fontId="32" fillId="17" borderId="23" xfId="0" applyFont="1" applyFill="1" applyBorder="1" applyAlignment="1">
      <alignment horizontal="center" vertical="center"/>
    </xf>
    <xf numFmtId="0" fontId="32" fillId="12" borderId="23" xfId="0" quotePrefix="1" applyFont="1" applyFill="1" applyBorder="1" applyAlignment="1">
      <alignment horizontal="center" vertical="center"/>
    </xf>
    <xf numFmtId="0" fontId="32" fillId="19" borderId="23" xfId="0" applyFont="1" applyFill="1" applyBorder="1" applyAlignment="1">
      <alignment horizontal="center" vertical="center"/>
    </xf>
    <xf numFmtId="0" fontId="32" fillId="9" borderId="93" xfId="0" applyFont="1" applyFill="1" applyBorder="1" applyAlignment="1">
      <alignment horizontal="center" vertical="center"/>
    </xf>
    <xf numFmtId="0" fontId="32" fillId="0" borderId="110" xfId="0" applyFont="1" applyBorder="1" applyAlignment="1">
      <alignment horizontal="center" vertical="center"/>
    </xf>
    <xf numFmtId="0" fontId="32" fillId="13" borderId="22" xfId="0" applyFont="1" applyFill="1" applyBorder="1" applyAlignment="1">
      <alignment horizontal="center" vertical="center"/>
    </xf>
    <xf numFmtId="0" fontId="32" fillId="20" borderId="35" xfId="0" applyFont="1" applyFill="1" applyBorder="1" applyAlignment="1">
      <alignment horizontal="center" vertical="center"/>
    </xf>
    <xf numFmtId="0" fontId="43" fillId="20" borderId="24" xfId="0" quotePrefix="1" applyFont="1" applyFill="1" applyBorder="1" applyAlignment="1">
      <alignment horizontal="center" vertical="center"/>
    </xf>
    <xf numFmtId="0" fontId="32" fillId="15" borderId="25" xfId="0" quotePrefix="1" applyFont="1" applyFill="1" applyBorder="1" applyAlignment="1">
      <alignment horizontal="center" vertical="center"/>
    </xf>
    <xf numFmtId="0" fontId="32" fillId="0" borderId="26" xfId="0" applyFont="1" applyBorder="1" applyAlignment="1">
      <alignment horizontal="center" vertical="center"/>
    </xf>
    <xf numFmtId="0" fontId="32" fillId="0" borderId="28" xfId="0" applyFont="1" applyBorder="1" applyAlignment="1">
      <alignment horizontal="center" vertical="center"/>
    </xf>
    <xf numFmtId="0" fontId="32" fillId="0" borderId="30" xfId="0" applyFont="1" applyBorder="1" applyAlignment="1">
      <alignment horizontal="center" vertical="center"/>
    </xf>
    <xf numFmtId="0" fontId="32" fillId="0" borderId="98" xfId="0" applyFont="1" applyBorder="1" applyAlignment="1">
      <alignment horizontal="center" vertical="center"/>
    </xf>
    <xf numFmtId="0" fontId="32" fillId="15" borderId="100" xfId="0" quotePrefix="1" applyFont="1" applyFill="1" applyBorder="1" applyAlignment="1">
      <alignment horizontal="center" vertical="center"/>
    </xf>
    <xf numFmtId="0" fontId="32" fillId="20" borderId="100" xfId="0" quotePrefix="1" applyFont="1" applyFill="1" applyBorder="1" applyAlignment="1">
      <alignment horizontal="center" vertical="center"/>
    </xf>
    <xf numFmtId="0" fontId="32" fillId="17" borderId="101" xfId="0" quotePrefix="1" applyFont="1" applyFill="1" applyBorder="1" applyAlignment="1">
      <alignment horizontal="center" vertical="center"/>
    </xf>
    <xf numFmtId="0" fontId="32" fillId="0" borderId="111" xfId="0" applyFont="1" applyBorder="1" applyAlignment="1">
      <alignment horizontal="center" vertical="center"/>
    </xf>
    <xf numFmtId="0" fontId="32" fillId="20" borderId="101" xfId="0" quotePrefix="1" applyFont="1" applyFill="1" applyBorder="1" applyAlignment="1">
      <alignment horizontal="center" vertical="center"/>
    </xf>
    <xf numFmtId="0" fontId="32" fillId="13" borderId="101" xfId="0" quotePrefix="1" applyFont="1" applyFill="1" applyBorder="1" applyAlignment="1">
      <alignment horizontal="center" vertical="center"/>
    </xf>
    <xf numFmtId="0" fontId="32" fillId="0" borderId="112" xfId="0" applyFont="1" applyBorder="1" applyAlignment="1">
      <alignment horizontal="center" vertical="center"/>
    </xf>
    <xf numFmtId="0" fontId="32" fillId="0" borderId="115" xfId="0" applyFont="1" applyBorder="1" applyAlignment="1">
      <alignment horizontal="center" vertical="center"/>
    </xf>
    <xf numFmtId="0" fontId="32" fillId="0" borderId="118" xfId="0" applyFont="1" applyBorder="1" applyAlignment="1">
      <alignment horizontal="center" vertical="center"/>
    </xf>
    <xf numFmtId="0" fontId="32" fillId="0" borderId="121" xfId="0" applyFont="1" applyBorder="1" applyAlignment="1">
      <alignment horizontal="center" vertical="center"/>
    </xf>
    <xf numFmtId="0" fontId="32" fillId="0" borderId="123" xfId="0" applyFont="1" applyBorder="1" applyAlignment="1">
      <alignment horizontal="center" vertical="center"/>
    </xf>
    <xf numFmtId="0" fontId="32" fillId="0" borderId="124" xfId="0" applyFont="1" applyBorder="1" applyAlignment="1">
      <alignment horizontal="center" vertical="center"/>
    </xf>
    <xf numFmtId="0" fontId="32" fillId="20" borderId="22" xfId="0" applyFont="1" applyFill="1" applyBorder="1" applyAlignment="1">
      <alignment horizontal="center" vertical="center"/>
    </xf>
    <xf numFmtId="0" fontId="32" fillId="16" borderId="23" xfId="0" quotePrefix="1" applyFont="1" applyFill="1" applyBorder="1" applyAlignment="1">
      <alignment horizontal="center" vertical="center"/>
    </xf>
    <xf numFmtId="0" fontId="32" fillId="18" borderId="23" xfId="0" quotePrefix="1" applyFont="1" applyFill="1" applyBorder="1" applyAlignment="1">
      <alignment horizontal="center" vertical="center"/>
    </xf>
    <xf numFmtId="0" fontId="32" fillId="0" borderId="109" xfId="0" applyFont="1" applyBorder="1" applyAlignment="1">
      <alignment horizontal="left" vertical="center"/>
    </xf>
    <xf numFmtId="0" fontId="16" fillId="15" borderId="25" xfId="0" quotePrefix="1" applyFont="1" applyFill="1" applyBorder="1" applyAlignment="1">
      <alignment horizontal="center" vertical="center"/>
    </xf>
    <xf numFmtId="0" fontId="16" fillId="12" borderId="23" xfId="0" quotePrefix="1" applyFont="1" applyFill="1" applyBorder="1" applyAlignment="1">
      <alignment horizontal="center" vertical="center"/>
    </xf>
    <xf numFmtId="0" fontId="16" fillId="17" borderId="23" xfId="0" quotePrefix="1" applyFont="1" applyFill="1" applyBorder="1" applyAlignment="1">
      <alignment horizontal="center" vertical="center"/>
    </xf>
    <xf numFmtId="0" fontId="16" fillId="13" borderId="23" xfId="0" quotePrefix="1" applyFont="1" applyFill="1" applyBorder="1" applyAlignment="1">
      <alignment horizontal="center" vertical="center"/>
    </xf>
    <xf numFmtId="0" fontId="16" fillId="0" borderId="26" xfId="0" applyFont="1" applyBorder="1" applyAlignment="1">
      <alignment horizontal="center" vertical="center"/>
    </xf>
    <xf numFmtId="0" fontId="16" fillId="0" borderId="28" xfId="0" applyFont="1" applyBorder="1" applyAlignment="1">
      <alignment horizontal="center" vertical="center"/>
    </xf>
    <xf numFmtId="0" fontId="16" fillId="0" borderId="30" xfId="0" applyFont="1" applyBorder="1" applyAlignment="1">
      <alignment horizontal="center" vertical="center"/>
    </xf>
    <xf numFmtId="0" fontId="16" fillId="0" borderId="98" xfId="0" applyFont="1" applyBorder="1" applyAlignment="1">
      <alignment horizontal="center" vertical="center"/>
    </xf>
    <xf numFmtId="0" fontId="16" fillId="15" borderId="100" xfId="0" quotePrefix="1" applyFont="1" applyFill="1" applyBorder="1" applyAlignment="1">
      <alignment horizontal="center" vertical="center"/>
    </xf>
    <xf numFmtId="0" fontId="16" fillId="20" borderId="100" xfId="0" quotePrefix="1" applyFont="1" applyFill="1" applyBorder="1" applyAlignment="1">
      <alignment horizontal="center" vertical="center"/>
    </xf>
    <xf numFmtId="0" fontId="16" fillId="17" borderId="101" xfId="0" quotePrefix="1" applyFont="1" applyFill="1" applyBorder="1" applyAlignment="1">
      <alignment horizontal="center" vertical="center"/>
    </xf>
    <xf numFmtId="0" fontId="16" fillId="0" borderId="109" xfId="0" applyFont="1" applyBorder="1" applyAlignment="1">
      <alignment horizontal="center" vertical="center"/>
    </xf>
    <xf numFmtId="0" fontId="16" fillId="0" borderId="110" xfId="0" applyFont="1" applyBorder="1" applyAlignment="1">
      <alignment horizontal="center" vertical="center"/>
    </xf>
    <xf numFmtId="0" fontId="16" fillId="0" borderId="111" xfId="0" applyFont="1" applyBorder="1" applyAlignment="1">
      <alignment horizontal="center" vertical="center"/>
    </xf>
    <xf numFmtId="0" fontId="16" fillId="20" borderId="101" xfId="0" quotePrefix="1" applyFont="1" applyFill="1" applyBorder="1" applyAlignment="1">
      <alignment horizontal="center" vertical="center"/>
    </xf>
    <xf numFmtId="0" fontId="16" fillId="15" borderId="23" xfId="0" quotePrefix="1" applyFont="1" applyFill="1" applyBorder="1" applyAlignment="1">
      <alignment horizontal="center" vertical="center"/>
    </xf>
    <xf numFmtId="0" fontId="16" fillId="13" borderId="101" xfId="0" quotePrefix="1" applyFont="1" applyFill="1" applyBorder="1" applyAlignment="1">
      <alignment horizontal="center" vertical="center"/>
    </xf>
    <xf numFmtId="0" fontId="16" fillId="0" borderId="113" xfId="0" applyFont="1" applyBorder="1" applyAlignment="1">
      <alignment horizontal="center" vertical="center"/>
    </xf>
    <xf numFmtId="0" fontId="16" fillId="0" borderId="116" xfId="0" applyFont="1" applyBorder="1" applyAlignment="1">
      <alignment horizontal="center" vertical="center"/>
    </xf>
    <xf numFmtId="0" fontId="16" fillId="0" borderId="119" xfId="0" applyFont="1" applyBorder="1" applyAlignment="1">
      <alignment horizontal="center" vertical="center"/>
    </xf>
    <xf numFmtId="0" fontId="16" fillId="20" borderId="23" xfId="0" quotePrefix="1" applyFont="1" applyFill="1" applyBorder="1" applyAlignment="1">
      <alignment horizontal="center" vertical="center"/>
    </xf>
    <xf numFmtId="0" fontId="16" fillId="15" borderId="23" xfId="0" applyFont="1" applyFill="1" applyBorder="1" applyAlignment="1">
      <alignment horizontal="center" vertical="center"/>
    </xf>
    <xf numFmtId="0" fontId="16" fillId="13" borderId="23" xfId="0" applyFont="1" applyFill="1" applyBorder="1" applyAlignment="1">
      <alignment horizontal="center" vertical="center"/>
    </xf>
    <xf numFmtId="0" fontId="16" fillId="0" borderId="96" xfId="0" applyFont="1" applyBorder="1" applyAlignment="1">
      <alignment horizontal="center" vertical="center"/>
    </xf>
    <xf numFmtId="0" fontId="16" fillId="20" borderId="23" xfId="0" applyFont="1" applyFill="1" applyBorder="1" applyAlignment="1">
      <alignment horizontal="center" vertical="center"/>
    </xf>
    <xf numFmtId="0" fontId="16" fillId="12" borderId="23" xfId="0" applyFont="1" applyFill="1" applyBorder="1" applyAlignment="1">
      <alignment horizontal="center" vertical="center"/>
    </xf>
    <xf numFmtId="0" fontId="16" fillId="0" borderId="121" xfId="0" applyFont="1" applyBorder="1" applyAlignment="1">
      <alignment horizontal="center" vertical="center"/>
    </xf>
    <xf numFmtId="0" fontId="16" fillId="17" borderId="23" xfId="0" applyFont="1" applyFill="1" applyBorder="1" applyAlignment="1">
      <alignment horizontal="center" vertical="center"/>
    </xf>
    <xf numFmtId="0" fontId="16" fillId="0" borderId="122" xfId="0" applyFont="1" applyBorder="1" applyAlignment="1">
      <alignment horizontal="center" vertical="center"/>
    </xf>
    <xf numFmtId="0" fontId="16" fillId="0" borderId="123" xfId="0" applyFont="1" applyBorder="1" applyAlignment="1">
      <alignment horizontal="center" vertical="center"/>
    </xf>
    <xf numFmtId="0" fontId="16" fillId="0" borderId="124" xfId="0" applyFont="1" applyBorder="1" applyAlignment="1">
      <alignment horizontal="center" vertical="center"/>
    </xf>
    <xf numFmtId="0" fontId="16" fillId="20" borderId="22" xfId="0" applyFont="1" applyFill="1" applyBorder="1" applyAlignment="1">
      <alignment horizontal="center" vertical="center"/>
    </xf>
    <xf numFmtId="0" fontId="16" fillId="16" borderId="23" xfId="0" quotePrefix="1" applyFont="1" applyFill="1" applyBorder="1" applyAlignment="1">
      <alignment horizontal="center" vertical="center"/>
    </xf>
    <xf numFmtId="0" fontId="16" fillId="0" borderId="109" xfId="0" applyFont="1" applyFill="1" applyBorder="1" applyAlignment="1">
      <alignment horizontal="center" vertical="center"/>
    </xf>
    <xf numFmtId="0" fontId="16" fillId="18" borderId="23" xfId="0" quotePrefix="1" applyFont="1" applyFill="1" applyBorder="1" applyAlignment="1">
      <alignment horizontal="center" vertical="center"/>
    </xf>
    <xf numFmtId="0" fontId="16" fillId="0" borderId="122" xfId="0" applyFont="1" applyFill="1" applyBorder="1" applyAlignment="1">
      <alignment horizontal="center" vertical="center"/>
    </xf>
    <xf numFmtId="0" fontId="16" fillId="19" borderId="23" xfId="0" applyFont="1" applyFill="1" applyBorder="1" applyAlignment="1">
      <alignment horizontal="center" vertical="center"/>
    </xf>
    <xf numFmtId="0" fontId="16" fillId="9" borderId="93" xfId="0" applyFont="1" applyFill="1" applyBorder="1" applyAlignment="1">
      <alignment horizontal="center" vertical="center"/>
    </xf>
    <xf numFmtId="0" fontId="16" fillId="0" borderId="109" xfId="0" applyFont="1" applyBorder="1" applyAlignment="1">
      <alignment horizontal="left" vertical="center"/>
    </xf>
    <xf numFmtId="0" fontId="16" fillId="13" borderId="22" xfId="0" applyFont="1" applyFill="1" applyBorder="1" applyAlignment="1">
      <alignment horizontal="center" vertical="center"/>
    </xf>
    <xf numFmtId="0" fontId="16" fillId="20" borderId="35" xfId="0" applyFont="1" applyFill="1" applyBorder="1" applyAlignment="1">
      <alignment horizontal="center" vertical="center"/>
    </xf>
    <xf numFmtId="0" fontId="4" fillId="12" borderId="127" xfId="0" applyFont="1" applyFill="1" applyBorder="1" applyAlignment="1">
      <alignment vertical="center" wrapText="1"/>
    </xf>
    <xf numFmtId="0" fontId="4" fillId="3" borderId="127" xfId="0" applyFont="1" applyFill="1" applyBorder="1" applyAlignment="1">
      <alignment horizontal="left" vertical="center" wrapText="1"/>
    </xf>
    <xf numFmtId="0" fontId="4" fillId="7" borderId="128" xfId="0" applyFont="1" applyFill="1" applyBorder="1" applyAlignment="1">
      <alignment vertical="center" wrapText="1"/>
    </xf>
    <xf numFmtId="0" fontId="4" fillId="7" borderId="127" xfId="0" applyFont="1" applyFill="1" applyBorder="1" applyAlignment="1">
      <alignment vertical="center" wrapText="1"/>
    </xf>
    <xf numFmtId="0" fontId="4" fillId="15" borderId="127" xfId="0" applyFont="1" applyFill="1" applyBorder="1" applyAlignment="1">
      <alignment vertical="center" wrapText="1"/>
    </xf>
    <xf numFmtId="0" fontId="4" fillId="5" borderId="9" xfId="0" applyFont="1" applyFill="1" applyBorder="1" applyAlignment="1">
      <alignment vertical="top" wrapText="1"/>
    </xf>
    <xf numFmtId="0" fontId="5" fillId="6" borderId="51" xfId="0" applyFont="1" applyFill="1" applyBorder="1" applyAlignment="1">
      <alignment horizontal="center" vertical="center" wrapText="1"/>
    </xf>
    <xf numFmtId="0" fontId="25" fillId="4" borderId="17" xfId="0" applyFont="1" applyFill="1" applyBorder="1" applyAlignment="1">
      <alignment horizontal="center" vertical="top" wrapText="1"/>
    </xf>
    <xf numFmtId="0" fontId="25" fillId="13" borderId="17" xfId="0" applyFont="1" applyFill="1" applyBorder="1" applyAlignment="1">
      <alignment horizontal="center" vertical="top" wrapText="1"/>
    </xf>
    <xf numFmtId="0" fontId="25" fillId="3" borderId="37" xfId="0" applyFont="1" applyFill="1" applyBorder="1" applyAlignment="1">
      <alignment horizontal="center" vertical="top" wrapText="1"/>
    </xf>
    <xf numFmtId="0" fontId="25" fillId="4" borderId="37" xfId="0" applyFont="1" applyFill="1" applyBorder="1" applyAlignment="1">
      <alignment horizontal="center" vertical="top" wrapText="1"/>
    </xf>
    <xf numFmtId="0" fontId="25" fillId="17" borderId="17" xfId="0" applyFont="1" applyFill="1" applyBorder="1" applyAlignment="1">
      <alignment horizontal="center" vertical="top" wrapText="1"/>
    </xf>
    <xf numFmtId="0" fontId="25" fillId="13" borderId="37" xfId="0" applyFont="1" applyFill="1" applyBorder="1" applyAlignment="1">
      <alignment horizontal="center" vertical="top" wrapText="1"/>
    </xf>
    <xf numFmtId="0" fontId="25" fillId="15" borderId="37" xfId="0" applyFont="1" applyFill="1" applyBorder="1" applyAlignment="1">
      <alignment horizontal="center" vertical="top" wrapText="1"/>
    </xf>
    <xf numFmtId="0" fontId="25" fillId="17" borderId="37" xfId="0" applyFont="1" applyFill="1" applyBorder="1" applyAlignment="1">
      <alignment horizontal="center" vertical="top" wrapText="1"/>
    </xf>
    <xf numFmtId="0" fontId="25" fillId="5" borderId="37" xfId="0" applyFont="1" applyFill="1" applyBorder="1" applyAlignment="1">
      <alignment horizontal="center" vertical="top" wrapText="1"/>
    </xf>
    <xf numFmtId="0" fontId="25" fillId="2" borderId="37" xfId="0" applyFont="1" applyFill="1" applyBorder="1" applyAlignment="1">
      <alignment horizontal="center" vertical="top" wrapText="1"/>
    </xf>
    <xf numFmtId="0" fontId="25" fillId="15" borderId="17" xfId="0" applyFont="1" applyFill="1" applyBorder="1" applyAlignment="1">
      <alignment horizontal="center" vertical="top" wrapText="1"/>
    </xf>
    <xf numFmtId="0" fontId="25" fillId="5" borderId="17" xfId="0" applyFont="1" applyFill="1" applyBorder="1" applyAlignment="1">
      <alignment horizontal="center" vertical="top" wrapText="1"/>
    </xf>
    <xf numFmtId="0" fontId="25" fillId="7" borderId="37" xfId="0" applyFont="1" applyFill="1" applyBorder="1" applyAlignment="1">
      <alignment horizontal="center" vertical="top" wrapText="1"/>
    </xf>
    <xf numFmtId="0" fontId="25" fillId="12" borderId="17" xfId="0" applyFont="1" applyFill="1" applyBorder="1" applyAlignment="1">
      <alignment horizontal="center" vertical="top" wrapText="1"/>
    </xf>
    <xf numFmtId="0" fontId="25" fillId="12" borderId="37" xfId="0" applyFont="1" applyFill="1" applyBorder="1" applyAlignment="1">
      <alignment horizontal="center" vertical="top" wrapText="1"/>
    </xf>
    <xf numFmtId="0" fontId="25" fillId="2" borderId="17" xfId="0" applyFont="1" applyFill="1" applyBorder="1" applyAlignment="1">
      <alignment horizontal="center" vertical="top" wrapText="1"/>
    </xf>
    <xf numFmtId="0" fontId="25" fillId="13" borderId="38" xfId="0" applyFont="1" applyFill="1" applyBorder="1" applyAlignment="1">
      <alignment horizontal="center" vertical="center" wrapText="1"/>
    </xf>
    <xf numFmtId="0" fontId="25" fillId="3" borderId="17" xfId="0" applyFont="1" applyFill="1" applyBorder="1" applyAlignment="1">
      <alignment horizontal="center" vertical="top" wrapText="1"/>
    </xf>
    <xf numFmtId="0" fontId="25" fillId="20" borderId="38" xfId="0" applyFont="1" applyFill="1" applyBorder="1" applyAlignment="1">
      <alignment horizontal="center" vertical="top" wrapText="1"/>
    </xf>
    <xf numFmtId="0" fontId="37" fillId="11" borderId="129" xfId="0" quotePrefix="1" applyFont="1" applyFill="1" applyBorder="1" applyAlignment="1">
      <alignment horizontal="center" vertical="center"/>
    </xf>
    <xf numFmtId="0" fontId="37" fillId="11" borderId="30" xfId="0" quotePrefix="1" applyFont="1" applyFill="1" applyBorder="1" applyAlignment="1">
      <alignment horizontal="center" vertical="center"/>
    </xf>
    <xf numFmtId="0" fontId="37" fillId="12" borderId="130" xfId="0" applyFont="1" applyFill="1" applyBorder="1" applyAlignment="1">
      <alignment horizontal="center" vertical="center"/>
    </xf>
    <xf numFmtId="0" fontId="38" fillId="12" borderId="130" xfId="0" applyFont="1" applyFill="1" applyBorder="1" applyAlignment="1">
      <alignment horizontal="center" vertical="center"/>
    </xf>
    <xf numFmtId="0" fontId="37" fillId="21" borderId="130" xfId="0" applyFont="1" applyFill="1" applyBorder="1" applyAlignment="1">
      <alignment horizontal="center" vertical="center"/>
    </xf>
    <xf numFmtId="0" fontId="38" fillId="21" borderId="130" xfId="0" applyFont="1" applyFill="1" applyBorder="1" applyAlignment="1">
      <alignment horizontal="center" vertical="center"/>
    </xf>
    <xf numFmtId="0" fontId="37" fillId="15" borderId="130" xfId="0" applyFont="1" applyFill="1" applyBorder="1" applyAlignment="1">
      <alignment horizontal="center" vertical="center"/>
    </xf>
    <xf numFmtId="0" fontId="38" fillId="15" borderId="130" xfId="0" applyFont="1" applyFill="1" applyBorder="1" applyAlignment="1">
      <alignment horizontal="center" vertical="center"/>
    </xf>
    <xf numFmtId="0" fontId="37" fillId="22" borderId="130" xfId="0" applyFont="1" applyFill="1" applyBorder="1" applyAlignment="1">
      <alignment horizontal="center" vertical="center"/>
    </xf>
    <xf numFmtId="0" fontId="38" fillId="22" borderId="130" xfId="0" applyFont="1" applyFill="1" applyBorder="1" applyAlignment="1">
      <alignment horizontal="center" vertical="center"/>
    </xf>
    <xf numFmtId="0" fontId="37" fillId="23" borderId="130" xfId="0" applyFont="1" applyFill="1" applyBorder="1" applyAlignment="1">
      <alignment horizontal="center" vertical="center"/>
    </xf>
    <xf numFmtId="0" fontId="38" fillId="23" borderId="130" xfId="0" applyFont="1" applyFill="1" applyBorder="1" applyAlignment="1">
      <alignment horizontal="center" vertical="center"/>
    </xf>
    <xf numFmtId="0" fontId="38" fillId="17" borderId="130" xfId="0" quotePrefix="1" applyFont="1" applyFill="1" applyBorder="1" applyAlignment="1">
      <alignment horizontal="center" vertical="center" wrapText="1"/>
    </xf>
    <xf numFmtId="0" fontId="45" fillId="17" borderId="130" xfId="0" applyFont="1" applyFill="1" applyBorder="1" applyAlignment="1">
      <alignment horizontal="center" vertical="center"/>
    </xf>
    <xf numFmtId="0" fontId="46" fillId="0" borderId="0" xfId="0" applyFont="1" applyAlignment="1">
      <alignment vertical="center"/>
    </xf>
    <xf numFmtId="0" fontId="47" fillId="0" borderId="0" xfId="0" applyFont="1" applyAlignment="1">
      <alignment vertical="center"/>
    </xf>
    <xf numFmtId="0" fontId="48" fillId="0" borderId="0" xfId="0" applyFont="1" applyFill="1" applyAlignment="1">
      <alignment vertical="center"/>
    </xf>
    <xf numFmtId="0" fontId="49" fillId="0" borderId="0" xfId="0" applyFont="1" applyFill="1" applyBorder="1" applyAlignment="1">
      <alignment vertical="center"/>
    </xf>
    <xf numFmtId="0" fontId="47" fillId="0" borderId="0" xfId="0" applyFont="1" applyBorder="1" applyAlignment="1">
      <alignment vertical="center"/>
    </xf>
    <xf numFmtId="0" fontId="48" fillId="0" borderId="0" xfId="0" applyFont="1" applyFill="1" applyBorder="1" applyAlignment="1">
      <alignment vertical="center"/>
    </xf>
    <xf numFmtId="0" fontId="49" fillId="0" borderId="0" xfId="0" applyFont="1" applyFill="1" applyAlignment="1">
      <alignment vertical="center"/>
    </xf>
    <xf numFmtId="0" fontId="50" fillId="0" borderId="0" xfId="0" applyFont="1" applyAlignment="1">
      <alignment vertical="center"/>
    </xf>
    <xf numFmtId="0" fontId="51" fillId="0" borderId="0" xfId="0" applyFont="1" applyAlignment="1">
      <alignment vertical="center"/>
    </xf>
    <xf numFmtId="0" fontId="51" fillId="0" borderId="0" xfId="0" applyFont="1" applyBorder="1" applyAlignment="1">
      <alignment vertical="center"/>
    </xf>
    <xf numFmtId="0" fontId="52" fillId="21" borderId="138" xfId="0" applyFont="1" applyFill="1" applyBorder="1" applyAlignment="1">
      <alignment horizontal="center" vertical="center"/>
    </xf>
    <xf numFmtId="0" fontId="53" fillId="21" borderId="140" xfId="0" applyFont="1" applyFill="1" applyBorder="1" applyAlignment="1">
      <alignment horizontal="center" vertical="center"/>
    </xf>
    <xf numFmtId="0" fontId="52" fillId="15" borderId="143" xfId="0" applyFont="1" applyFill="1" applyBorder="1" applyAlignment="1">
      <alignment horizontal="center" vertical="center"/>
    </xf>
    <xf numFmtId="0" fontId="53" fillId="15" borderId="144" xfId="0" applyFont="1" applyFill="1" applyBorder="1" applyAlignment="1">
      <alignment horizontal="center" vertical="center"/>
    </xf>
    <xf numFmtId="0" fontId="52" fillId="22" borderId="143" xfId="0" applyFont="1" applyFill="1" applyBorder="1" applyAlignment="1">
      <alignment horizontal="center" vertical="center"/>
    </xf>
    <xf numFmtId="0" fontId="53" fillId="22" borderId="144" xfId="0" applyFont="1" applyFill="1" applyBorder="1" applyAlignment="1">
      <alignment horizontal="center" vertical="center"/>
    </xf>
    <xf numFmtId="0" fontId="52" fillId="12" borderId="143" xfId="0" applyFont="1" applyFill="1" applyBorder="1" applyAlignment="1">
      <alignment horizontal="center" vertical="center"/>
    </xf>
    <xf numFmtId="0" fontId="53" fillId="12" borderId="144" xfId="0" applyFont="1" applyFill="1" applyBorder="1" applyAlignment="1">
      <alignment horizontal="center" vertical="center"/>
    </xf>
    <xf numFmtId="0" fontId="52" fillId="23" borderId="143" xfId="0" applyFont="1" applyFill="1" applyBorder="1" applyAlignment="1">
      <alignment horizontal="center" vertical="center"/>
    </xf>
    <xf numFmtId="0" fontId="53" fillId="23" borderId="144" xfId="0" applyFont="1" applyFill="1" applyBorder="1" applyAlignment="1">
      <alignment horizontal="center" vertical="center"/>
    </xf>
    <xf numFmtId="0" fontId="52" fillId="21" borderId="143" xfId="0" applyFont="1" applyFill="1" applyBorder="1" applyAlignment="1">
      <alignment horizontal="center" vertical="center"/>
    </xf>
    <xf numFmtId="0" fontId="53" fillId="21" borderId="144" xfId="0" applyFont="1" applyFill="1" applyBorder="1" applyAlignment="1">
      <alignment horizontal="center" vertical="center"/>
    </xf>
    <xf numFmtId="0" fontId="54" fillId="17" borderId="134" xfId="0" applyFont="1" applyFill="1" applyBorder="1" applyAlignment="1">
      <alignment horizontal="center" vertical="center"/>
    </xf>
    <xf numFmtId="0" fontId="35" fillId="21" borderId="58" xfId="0" applyFont="1" applyFill="1" applyBorder="1" applyAlignment="1">
      <alignment horizontal="center" vertical="center"/>
    </xf>
    <xf numFmtId="0" fontId="23" fillId="21" borderId="141" xfId="0" applyFont="1" applyFill="1" applyBorder="1" applyAlignment="1">
      <alignment horizontal="center" vertical="center"/>
    </xf>
    <xf numFmtId="0" fontId="35" fillId="15" borderId="1" xfId="0" applyFont="1" applyFill="1" applyBorder="1" applyAlignment="1">
      <alignment horizontal="center" vertical="center"/>
    </xf>
    <xf numFmtId="0" fontId="23" fillId="15" borderId="141" xfId="0" applyFont="1" applyFill="1" applyBorder="1" applyAlignment="1">
      <alignment horizontal="center" vertical="center"/>
    </xf>
    <xf numFmtId="0" fontId="35" fillId="22" borderId="1" xfId="0" applyFont="1" applyFill="1" applyBorder="1" applyAlignment="1">
      <alignment horizontal="center" vertical="center"/>
    </xf>
    <xf numFmtId="0" fontId="23" fillId="22" borderId="141" xfId="0" applyFont="1" applyFill="1" applyBorder="1" applyAlignment="1">
      <alignment horizontal="center" vertical="center"/>
    </xf>
    <xf numFmtId="0" fontId="35" fillId="12" borderId="1" xfId="0" applyFont="1" applyFill="1" applyBorder="1" applyAlignment="1">
      <alignment horizontal="center" vertical="center"/>
    </xf>
    <xf numFmtId="0" fontId="23" fillId="12" borderId="141" xfId="0" applyFont="1" applyFill="1" applyBorder="1" applyAlignment="1">
      <alignment horizontal="center" vertical="center"/>
    </xf>
    <xf numFmtId="0" fontId="35" fillId="23" borderId="1" xfId="0" applyFont="1" applyFill="1" applyBorder="1" applyAlignment="1">
      <alignment horizontal="center" vertical="center"/>
    </xf>
    <xf numFmtId="0" fontId="23" fillId="23" borderId="141" xfId="0" applyFont="1" applyFill="1" applyBorder="1" applyAlignment="1">
      <alignment horizontal="center" vertical="center"/>
    </xf>
    <xf numFmtId="0" fontId="35" fillId="21" borderId="1" xfId="0" applyFont="1" applyFill="1" applyBorder="1" applyAlignment="1">
      <alignment horizontal="center" vertical="center"/>
    </xf>
    <xf numFmtId="0" fontId="22" fillId="17" borderId="145" xfId="0" applyFont="1" applyFill="1" applyBorder="1" applyAlignment="1">
      <alignment horizontal="center" vertical="center"/>
    </xf>
    <xf numFmtId="0" fontId="55" fillId="21" borderId="139" xfId="0" applyFont="1" applyFill="1" applyBorder="1" applyAlignment="1">
      <alignment horizontal="center" vertical="top" wrapText="1"/>
    </xf>
    <xf numFmtId="0" fontId="56" fillId="21" borderId="142" xfId="0" applyFont="1" applyFill="1" applyBorder="1" applyAlignment="1">
      <alignment horizontal="center" vertical="center"/>
    </xf>
    <xf numFmtId="0" fontId="55" fillId="15" borderId="34" xfId="0" applyFont="1" applyFill="1" applyBorder="1" applyAlignment="1">
      <alignment horizontal="center" vertical="center" wrapText="1"/>
    </xf>
    <xf numFmtId="0" fontId="56" fillId="15" borderId="142" xfId="0" applyFont="1" applyFill="1" applyBorder="1" applyAlignment="1">
      <alignment horizontal="center" vertical="center"/>
    </xf>
    <xf numFmtId="0" fontId="55" fillId="22" borderId="34" xfId="0" applyFont="1" applyFill="1" applyBorder="1" applyAlignment="1">
      <alignment horizontal="center" vertical="center" wrapText="1"/>
    </xf>
    <xf numFmtId="0" fontId="56" fillId="22" borderId="142" xfId="0" applyFont="1" applyFill="1" applyBorder="1" applyAlignment="1">
      <alignment horizontal="center" vertical="center"/>
    </xf>
    <xf numFmtId="0" fontId="55" fillId="12" borderId="34" xfId="0" applyFont="1" applyFill="1" applyBorder="1" applyAlignment="1">
      <alignment horizontal="center" vertical="center" wrapText="1"/>
    </xf>
    <xf numFmtId="0" fontId="56" fillId="12" borderId="142" xfId="0" applyFont="1" applyFill="1" applyBorder="1" applyAlignment="1">
      <alignment horizontal="center" vertical="center"/>
    </xf>
    <xf numFmtId="0" fontId="55" fillId="23" borderId="34" xfId="0" applyFont="1" applyFill="1" applyBorder="1" applyAlignment="1">
      <alignment horizontal="center" vertical="center" wrapText="1"/>
    </xf>
    <xf numFmtId="0" fontId="56" fillId="23" borderId="142" xfId="0" applyFont="1" applyFill="1" applyBorder="1" applyAlignment="1">
      <alignment horizontal="center" vertical="center"/>
    </xf>
    <xf numFmtId="0" fontId="55" fillId="21" borderId="34" xfId="0" applyFont="1" applyFill="1" applyBorder="1" applyAlignment="1">
      <alignment horizontal="center" vertical="center" wrapText="1"/>
    </xf>
    <xf numFmtId="0" fontId="57" fillId="21" borderId="142" xfId="0" applyFont="1" applyFill="1" applyBorder="1" applyAlignment="1">
      <alignment horizontal="center" vertical="center"/>
    </xf>
    <xf numFmtId="0" fontId="57" fillId="17" borderId="136" xfId="0" applyFont="1" applyFill="1" applyBorder="1" applyAlignment="1">
      <alignment horizontal="center" vertical="center"/>
    </xf>
    <xf numFmtId="0" fontId="28" fillId="9" borderId="15" xfId="0" quotePrefix="1" applyFont="1" applyFill="1" applyBorder="1" applyAlignment="1">
      <alignment horizontal="center" vertical="center" wrapText="1"/>
    </xf>
    <xf numFmtId="0" fontId="28" fillId="9" borderId="14" xfId="0" quotePrefix="1" applyFont="1" applyFill="1" applyBorder="1" applyAlignment="1">
      <alignment horizontal="center" vertical="center" wrapText="1"/>
    </xf>
    <xf numFmtId="0" fontId="29" fillId="9" borderId="0" xfId="0" applyFont="1" applyFill="1" applyBorder="1" applyAlignment="1">
      <alignment horizontal="center" vertical="center"/>
    </xf>
    <xf numFmtId="0" fontId="27" fillId="10" borderId="0" xfId="0" quotePrefix="1" applyFont="1" applyFill="1" applyBorder="1" applyAlignment="1">
      <alignment horizontal="center" vertical="center" wrapText="1"/>
    </xf>
    <xf numFmtId="0" fontId="27" fillId="10" borderId="10" xfId="0" quotePrefix="1" applyFont="1" applyFill="1" applyBorder="1" applyAlignment="1">
      <alignment horizontal="center" vertical="center" wrapText="1"/>
    </xf>
    <xf numFmtId="0" fontId="27" fillId="9" borderId="0" xfId="0" quotePrefix="1" applyFont="1" applyFill="1" applyBorder="1" applyAlignment="1">
      <alignment horizontal="center" vertical="center" wrapText="1"/>
    </xf>
    <xf numFmtId="0" fontId="27" fillId="9" borderId="10" xfId="0" quotePrefix="1" applyFont="1" applyFill="1" applyBorder="1" applyAlignment="1">
      <alignment horizontal="center" vertical="center" wrapText="1"/>
    </xf>
    <xf numFmtId="0" fontId="27" fillId="9" borderId="13" xfId="0" quotePrefix="1" applyFont="1" applyFill="1" applyBorder="1" applyAlignment="1">
      <alignment horizontal="center" vertical="center" wrapText="1"/>
    </xf>
    <xf numFmtId="0" fontId="27" fillId="9" borderId="12" xfId="0" quotePrefix="1" applyFont="1" applyFill="1" applyBorder="1" applyAlignment="1">
      <alignment horizontal="center" vertical="center" wrapText="1"/>
    </xf>
    <xf numFmtId="0" fontId="28" fillId="9" borderId="125" xfId="0" quotePrefix="1" applyFont="1" applyFill="1" applyBorder="1" applyAlignment="1">
      <alignment horizontal="center" vertical="center" wrapText="1"/>
    </xf>
    <xf numFmtId="0" fontId="28" fillId="9" borderId="13" xfId="0" quotePrefix="1" applyFont="1" applyFill="1" applyBorder="1" applyAlignment="1">
      <alignment horizontal="center" vertical="center" wrapText="1"/>
    </xf>
    <xf numFmtId="0" fontId="28" fillId="9" borderId="126" xfId="0" quotePrefix="1" applyFont="1" applyFill="1" applyBorder="1" applyAlignment="1">
      <alignment horizontal="center" vertical="center" wrapText="1"/>
    </xf>
    <xf numFmtId="0" fontId="28" fillId="9" borderId="12" xfId="0" quotePrefix="1" applyFont="1" applyFill="1" applyBorder="1" applyAlignment="1">
      <alignment horizontal="center" vertical="center" wrapText="1"/>
    </xf>
    <xf numFmtId="0" fontId="34" fillId="21" borderId="130" xfId="0" quotePrefix="1" applyFont="1" applyFill="1" applyBorder="1" applyAlignment="1">
      <alignment horizontal="center" vertical="center" wrapText="1"/>
    </xf>
    <xf numFmtId="0" fontId="34" fillId="21" borderId="130" xfId="0" applyFont="1" applyFill="1" applyBorder="1" applyAlignment="1">
      <alignment horizontal="center" vertical="center" wrapText="1"/>
    </xf>
    <xf numFmtId="0" fontId="34" fillId="15" borderId="130" xfId="0" quotePrefix="1" applyFont="1" applyFill="1" applyBorder="1" applyAlignment="1">
      <alignment horizontal="center" vertical="center" wrapText="1"/>
    </xf>
    <xf numFmtId="0" fontId="34" fillId="15" borderId="130" xfId="0" applyFont="1" applyFill="1" applyBorder="1" applyAlignment="1">
      <alignment horizontal="center" vertical="center" wrapText="1"/>
    </xf>
    <xf numFmtId="0" fontId="34" fillId="22" borderId="130" xfId="0" quotePrefix="1" applyFont="1" applyFill="1" applyBorder="1" applyAlignment="1">
      <alignment horizontal="center" vertical="center" wrapText="1"/>
    </xf>
    <xf numFmtId="0" fontId="34" fillId="22" borderId="130" xfId="0" applyFont="1" applyFill="1" applyBorder="1" applyAlignment="1">
      <alignment horizontal="center" vertical="center" wrapText="1"/>
    </xf>
    <xf numFmtId="0" fontId="34" fillId="12" borderId="130" xfId="0" quotePrefix="1" applyFont="1" applyFill="1" applyBorder="1" applyAlignment="1">
      <alignment horizontal="center" vertical="center" wrapText="1"/>
    </xf>
    <xf numFmtId="0" fontId="44" fillId="12" borderId="131" xfId="0" applyFont="1" applyFill="1" applyBorder="1" applyAlignment="1">
      <alignment horizontal="center" vertical="center"/>
    </xf>
    <xf numFmtId="0" fontId="44" fillId="12" borderId="132" xfId="0" applyFont="1" applyFill="1" applyBorder="1" applyAlignment="1">
      <alignment horizontal="center" vertical="center"/>
    </xf>
    <xf numFmtId="0" fontId="44" fillId="12" borderId="133" xfId="0" applyFont="1" applyFill="1" applyBorder="1" applyAlignment="1">
      <alignment horizontal="center" vertical="center"/>
    </xf>
    <xf numFmtId="0" fontId="34" fillId="21" borderId="135" xfId="0" quotePrefix="1" applyFont="1" applyFill="1" applyBorder="1" applyAlignment="1">
      <alignment horizontal="center" vertical="center" wrapText="1"/>
    </xf>
    <xf numFmtId="0" fontId="34" fillId="21" borderId="137" xfId="0" quotePrefix="1" applyFont="1" applyFill="1" applyBorder="1" applyAlignment="1">
      <alignment horizontal="center" vertical="center" wrapText="1"/>
    </xf>
    <xf numFmtId="0" fontId="34" fillId="12" borderId="130" xfId="0" applyFont="1" applyFill="1" applyBorder="1" applyAlignment="1">
      <alignment horizontal="center" vertical="center" wrapText="1"/>
    </xf>
    <xf numFmtId="0" fontId="34" fillId="23" borderId="130" xfId="0" quotePrefix="1" applyFont="1" applyFill="1" applyBorder="1" applyAlignment="1">
      <alignment horizontal="center" vertical="center" wrapText="1"/>
    </xf>
    <xf numFmtId="0" fontId="34" fillId="23" borderId="130" xfId="0" applyFont="1" applyFill="1" applyBorder="1" applyAlignment="1">
      <alignment horizontal="center" vertical="center" wrapText="1"/>
    </xf>
    <xf numFmtId="0" fontId="58" fillId="0" borderId="0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642F04"/>
      <color rgb="FF9D4B07"/>
      <color rgb="FFC35D09"/>
      <color rgb="FF3333FF"/>
      <color rgb="FF793905"/>
      <color rgb="FFCC3300"/>
      <color rgb="FFFFCC99"/>
      <color rgb="FF89FFFF"/>
      <color rgb="FFCCFFFF"/>
      <color rgb="FFFFFFD5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278694</xdr:colOff>
      <xdr:row>1</xdr:row>
      <xdr:rowOff>148872</xdr:rowOff>
    </xdr:from>
    <xdr:to>
      <xdr:col>3</xdr:col>
      <xdr:colOff>386644</xdr:colOff>
      <xdr:row>8</xdr:row>
      <xdr:rowOff>46566</xdr:rowOff>
    </xdr:to>
    <xdr:pic>
      <xdr:nvPicPr>
        <xdr:cNvPr id="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194" y="325261"/>
          <a:ext cx="1088672" cy="139347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AD415"/>
  <sheetViews>
    <sheetView tabSelected="1" zoomScale="90" zoomScaleNormal="90" workbookViewId="0">
      <selection activeCell="L7" sqref="L7"/>
    </sheetView>
  </sheetViews>
  <sheetFormatPr defaultRowHeight="14" x14ac:dyDescent="0.3"/>
  <cols>
    <col min="1" max="1" width="2.7265625" customWidth="1"/>
    <col min="2" max="2" width="11.08984375" customWidth="1"/>
    <col min="3" max="3" width="2.90625" style="24" bestFit="1" customWidth="1"/>
    <col min="4" max="4" width="11" customWidth="1"/>
    <col min="5" max="5" width="2.81640625" style="24" bestFit="1" customWidth="1"/>
    <col min="6" max="6" width="16.90625" customWidth="1"/>
    <col min="7" max="7" width="3.7265625" style="24" bestFit="1" customWidth="1"/>
    <col min="8" max="8" width="18.54296875" bestFit="1" customWidth="1"/>
    <col min="9" max="9" width="3.7265625" style="24" bestFit="1" customWidth="1"/>
    <col min="10" max="10" width="22" bestFit="1" customWidth="1"/>
    <col min="11" max="11" width="3.7265625" style="24" bestFit="1" customWidth="1"/>
    <col min="12" max="12" width="24.453125" bestFit="1" customWidth="1"/>
    <col min="13" max="13" width="3.7265625" style="24" bestFit="1" customWidth="1"/>
    <col min="14" max="14" width="21.36328125" bestFit="1" customWidth="1"/>
    <col min="15" max="15" width="3.7265625" style="24" bestFit="1" customWidth="1"/>
    <col min="16" max="16" width="14.36328125" bestFit="1" customWidth="1"/>
    <col min="17" max="17" width="3.54296875" style="24" customWidth="1"/>
    <col min="18" max="18" width="13" style="24" customWidth="1"/>
    <col min="19" max="19" width="4.1796875" customWidth="1"/>
    <col min="20" max="20" width="12.453125" bestFit="1" customWidth="1"/>
    <col min="21" max="21" width="18.7265625" bestFit="1" customWidth="1"/>
    <col min="22" max="22" width="9.7265625" bestFit="1" customWidth="1"/>
    <col min="23" max="23" width="10.54296875" customWidth="1"/>
    <col min="24" max="24" width="7.54296875" bestFit="1" customWidth="1"/>
    <col min="25" max="25" width="11.453125" bestFit="1" customWidth="1"/>
  </cols>
  <sheetData>
    <row r="2" spans="1:23" s="16" customFormat="1" ht="15.5" x14ac:dyDescent="0.25">
      <c r="B2" s="15"/>
      <c r="C2" s="12"/>
      <c r="F2" s="10"/>
      <c r="G2" s="10"/>
      <c r="H2" s="10"/>
      <c r="I2" s="10"/>
      <c r="J2" s="10"/>
      <c r="K2" s="13"/>
      <c r="L2" s="13"/>
      <c r="M2" s="14"/>
      <c r="N2" s="14"/>
      <c r="O2" s="14"/>
      <c r="P2" s="14"/>
    </row>
    <row r="3" spans="1:23" s="16" customFormat="1" ht="18" x14ac:dyDescent="0.25">
      <c r="B3" s="15"/>
      <c r="C3" s="12"/>
      <c r="E3" s="741" t="s">
        <v>80</v>
      </c>
      <c r="K3" s="737"/>
      <c r="M3" s="735"/>
      <c r="N3" s="735"/>
      <c r="O3" s="735"/>
      <c r="P3" s="736"/>
      <c r="Q3" s="734"/>
    </row>
    <row r="4" spans="1:23" s="16" customFormat="1" ht="16.5" x14ac:dyDescent="0.25">
      <c r="B4" s="15"/>
      <c r="C4" s="12"/>
      <c r="K4" s="737"/>
      <c r="M4" s="738"/>
      <c r="N4" s="738"/>
      <c r="O4" s="738"/>
      <c r="P4" s="736"/>
      <c r="Q4" s="734"/>
    </row>
    <row r="5" spans="1:23" s="16" customFormat="1" ht="15.5" customHeight="1" x14ac:dyDescent="0.25">
      <c r="B5" s="15"/>
      <c r="C5" s="12"/>
      <c r="E5" s="742" t="s">
        <v>78</v>
      </c>
      <c r="K5" s="737"/>
      <c r="M5" s="738"/>
      <c r="N5" s="738"/>
      <c r="O5" s="738"/>
      <c r="P5" s="736"/>
      <c r="Q5" s="734"/>
    </row>
    <row r="6" spans="1:23" s="16" customFormat="1" ht="18" x14ac:dyDescent="0.25">
      <c r="B6" s="17"/>
      <c r="C6" s="17"/>
      <c r="E6" s="742" t="s">
        <v>79</v>
      </c>
      <c r="K6" s="740"/>
      <c r="M6" s="739"/>
      <c r="N6" s="737"/>
      <c r="O6" s="737"/>
      <c r="P6" s="740"/>
      <c r="Q6" s="740"/>
      <c r="W6" s="3"/>
    </row>
    <row r="7" spans="1:23" s="3" customFormat="1" ht="18" x14ac:dyDescent="0.45">
      <c r="B7" s="2"/>
      <c r="C7" s="2"/>
      <c r="D7" s="11"/>
      <c r="E7" s="743" t="s">
        <v>526</v>
      </c>
      <c r="K7" s="8"/>
      <c r="L7" s="810" t="s">
        <v>528</v>
      </c>
      <c r="O7" s="9"/>
      <c r="P7" s="8"/>
      <c r="Q7" s="8"/>
    </row>
    <row r="8" spans="1:23" s="3" customFormat="1" ht="15.5" x14ac:dyDescent="0.35">
      <c r="B8" s="5"/>
      <c r="C8" s="2"/>
      <c r="D8" s="2"/>
      <c r="E8" s="6" t="s">
        <v>137</v>
      </c>
      <c r="H8" s="6"/>
      <c r="J8" s="7"/>
    </row>
    <row r="9" spans="1:23" s="3" customFormat="1" ht="14.5" thickBot="1" x14ac:dyDescent="0.35">
      <c r="C9" s="23"/>
      <c r="E9" s="23"/>
      <c r="G9" s="23"/>
      <c r="I9" s="23"/>
      <c r="K9" s="23"/>
      <c r="M9" s="23"/>
      <c r="O9" s="23"/>
      <c r="Q9" s="23"/>
      <c r="R9" s="23"/>
    </row>
    <row r="10" spans="1:23" s="3" customFormat="1" ht="36" thickTop="1" thickBot="1" x14ac:dyDescent="0.3">
      <c r="B10" s="802" t="s">
        <v>217</v>
      </c>
      <c r="C10" s="803"/>
      <c r="D10" s="803"/>
      <c r="E10" s="803"/>
      <c r="F10" s="803"/>
      <c r="G10" s="803"/>
      <c r="H10" s="803"/>
      <c r="I10" s="803"/>
      <c r="J10" s="803"/>
      <c r="K10" s="803"/>
      <c r="L10" s="803"/>
      <c r="M10" s="803"/>
      <c r="N10" s="803"/>
      <c r="O10" s="803"/>
      <c r="P10" s="803"/>
      <c r="Q10" s="803"/>
      <c r="R10" s="803"/>
      <c r="S10" s="803"/>
      <c r="T10" s="804"/>
      <c r="V10" s="4"/>
    </row>
    <row r="11" spans="1:23" s="4" customFormat="1" ht="26.5" customHeight="1" thickTop="1" thickBot="1" x14ac:dyDescent="0.3">
      <c r="B11" s="805" t="s">
        <v>218</v>
      </c>
      <c r="C11" s="806"/>
      <c r="D11" s="797" t="s">
        <v>219</v>
      </c>
      <c r="E11" s="798"/>
      <c r="F11" s="799" t="s">
        <v>519</v>
      </c>
      <c r="G11" s="800"/>
      <c r="H11" s="801" t="s">
        <v>520</v>
      </c>
      <c r="I11" s="807"/>
      <c r="J11" s="808" t="s">
        <v>521</v>
      </c>
      <c r="K11" s="809"/>
      <c r="L11" s="795" t="s">
        <v>522</v>
      </c>
      <c r="M11" s="796"/>
      <c r="N11" s="797" t="s">
        <v>523</v>
      </c>
      <c r="O11" s="798"/>
      <c r="P11" s="799" t="s">
        <v>524</v>
      </c>
      <c r="Q11" s="800"/>
      <c r="R11" s="801" t="s">
        <v>525</v>
      </c>
      <c r="S11" s="801"/>
      <c r="T11" s="732" t="s">
        <v>139</v>
      </c>
    </row>
    <row r="12" spans="1:23" s="4" customFormat="1" ht="20" customHeight="1" thickTop="1" thickBot="1" x14ac:dyDescent="0.3">
      <c r="B12" s="744" t="s">
        <v>88</v>
      </c>
      <c r="C12" s="745">
        <f>COUNTIF(C19:C299,"M")</f>
        <v>1</v>
      </c>
      <c r="D12" s="746" t="s">
        <v>88</v>
      </c>
      <c r="E12" s="747">
        <f>COUNTIF(E19:E299,"M")</f>
        <v>2</v>
      </c>
      <c r="F12" s="748" t="s">
        <v>88</v>
      </c>
      <c r="G12" s="749">
        <f>COUNTIF(G19:G299,"M")</f>
        <v>10</v>
      </c>
      <c r="H12" s="750" t="s">
        <v>88</v>
      </c>
      <c r="I12" s="751">
        <f>COUNTIF(I19:I299,"M")</f>
        <v>23</v>
      </c>
      <c r="J12" s="752" t="s">
        <v>88</v>
      </c>
      <c r="K12" s="753">
        <f>COUNTIF(K19:K299,"M")</f>
        <v>46</v>
      </c>
      <c r="L12" s="754" t="s">
        <v>88</v>
      </c>
      <c r="M12" s="755">
        <f>COUNTIF(M19:M299,"M")</f>
        <v>41</v>
      </c>
      <c r="N12" s="746" t="s">
        <v>88</v>
      </c>
      <c r="O12" s="747">
        <f>COUNTIF(O19:O299,"M")</f>
        <v>29</v>
      </c>
      <c r="P12" s="748" t="s">
        <v>88</v>
      </c>
      <c r="Q12" s="749">
        <f>COUNTIF(Q19:Q299,"M")</f>
        <v>4</v>
      </c>
      <c r="R12" s="750"/>
      <c r="S12" s="751">
        <f>COUNTIF(S19:S299,"M")</f>
        <v>0</v>
      </c>
      <c r="T12" s="756">
        <f>C12+E12+G12+I12+K12+M12+O12+Q12+S12</f>
        <v>156</v>
      </c>
    </row>
    <row r="13" spans="1:23" s="4" customFormat="1" ht="20" customHeight="1" thickBot="1" x14ac:dyDescent="0.3">
      <c r="B13" s="757" t="s">
        <v>89</v>
      </c>
      <c r="C13" s="758">
        <f>COUNTIF(C19:C299,"Z")</f>
        <v>0</v>
      </c>
      <c r="D13" s="759" t="s">
        <v>89</v>
      </c>
      <c r="E13" s="760">
        <f>COUNTIF(E19:E299,"Z")</f>
        <v>0</v>
      </c>
      <c r="F13" s="761" t="s">
        <v>89</v>
      </c>
      <c r="G13" s="762">
        <f>COUNTIF(G19:G299,"Z")</f>
        <v>7</v>
      </c>
      <c r="H13" s="763" t="s">
        <v>89</v>
      </c>
      <c r="I13" s="764">
        <f>COUNTIF(I19:I299,"Z")</f>
        <v>15</v>
      </c>
      <c r="J13" s="765" t="s">
        <v>89</v>
      </c>
      <c r="K13" s="766">
        <f>COUNTIF(K19:K299,"Z")</f>
        <v>35</v>
      </c>
      <c r="L13" s="767" t="s">
        <v>89</v>
      </c>
      <c r="M13" s="758">
        <f>COUNTIF(M19:M299,"Z")</f>
        <v>33</v>
      </c>
      <c r="N13" s="759" t="s">
        <v>89</v>
      </c>
      <c r="O13" s="760">
        <f>COUNTIF(O19:O299,"Z")</f>
        <v>29</v>
      </c>
      <c r="P13" s="761" t="s">
        <v>89</v>
      </c>
      <c r="Q13" s="762">
        <f>COUNTIF(Q19:Q299,"Z")</f>
        <v>3</v>
      </c>
      <c r="R13" s="763"/>
      <c r="S13" s="764">
        <f>COUNTIF(S19:S299,"Z")</f>
        <v>0</v>
      </c>
      <c r="T13" s="768">
        <f t="shared" ref="T13:T15" si="0">C13+E13+G13+I13+K13+M13+O13+Q13+S13</f>
        <v>122</v>
      </c>
    </row>
    <row r="14" spans="1:23" s="4" customFormat="1" ht="25.5" thickBot="1" x14ac:dyDescent="0.3">
      <c r="A14" s="1"/>
      <c r="B14" s="769" t="s">
        <v>185</v>
      </c>
      <c r="C14" s="770">
        <f>COUNTIF(C19:C299,"X")</f>
        <v>0</v>
      </c>
      <c r="D14" s="771" t="s">
        <v>185</v>
      </c>
      <c r="E14" s="772">
        <f>COUNTIF(E19:E299,"X")</f>
        <v>0</v>
      </c>
      <c r="F14" s="773" t="s">
        <v>185</v>
      </c>
      <c r="G14" s="774">
        <f>COUNTIF(G19:G299,"X")</f>
        <v>0</v>
      </c>
      <c r="H14" s="775" t="s">
        <v>185</v>
      </c>
      <c r="I14" s="776">
        <f>COUNTIF(I19:I299,"X")</f>
        <v>0</v>
      </c>
      <c r="J14" s="777" t="s">
        <v>185</v>
      </c>
      <c r="K14" s="778">
        <f>COUNTIF(K19:K299,"X")</f>
        <v>0</v>
      </c>
      <c r="L14" s="779" t="s">
        <v>185</v>
      </c>
      <c r="M14" s="780">
        <f>COUNTIF(M19:M299,"X")</f>
        <v>1</v>
      </c>
      <c r="N14" s="771" t="s">
        <v>185</v>
      </c>
      <c r="O14" s="772">
        <f>COUNTIF(O19:O299,"X")</f>
        <v>0</v>
      </c>
      <c r="P14" s="773" t="s">
        <v>185</v>
      </c>
      <c r="Q14" s="774">
        <f>COUNTIF(Q19:Q299,"X")</f>
        <v>0</v>
      </c>
      <c r="R14" s="775"/>
      <c r="S14" s="776">
        <f>COUNTIF(S19:S299,"X")</f>
        <v>0</v>
      </c>
      <c r="T14" s="781">
        <f t="shared" si="0"/>
        <v>1</v>
      </c>
    </row>
    <row r="15" spans="1:23" s="4" customFormat="1" ht="21.5" customHeight="1" thickTop="1" thickBot="1" x14ac:dyDescent="0.3">
      <c r="A15" s="1"/>
      <c r="B15" s="724" t="s">
        <v>139</v>
      </c>
      <c r="C15" s="725">
        <f>C12+C13+C14</f>
        <v>1</v>
      </c>
      <c r="D15" s="726" t="s">
        <v>139</v>
      </c>
      <c r="E15" s="727">
        <f>E12+E13+E14</f>
        <v>2</v>
      </c>
      <c r="F15" s="728" t="s">
        <v>139</v>
      </c>
      <c r="G15" s="729">
        <f>G12+G13+G14</f>
        <v>17</v>
      </c>
      <c r="H15" s="722" t="s">
        <v>139</v>
      </c>
      <c r="I15" s="723">
        <f>I12+I13+I14</f>
        <v>38</v>
      </c>
      <c r="J15" s="730" t="s">
        <v>139</v>
      </c>
      <c r="K15" s="731">
        <f>K12+K13+K14</f>
        <v>81</v>
      </c>
      <c r="L15" s="724" t="s">
        <v>139</v>
      </c>
      <c r="M15" s="725">
        <f>M12+M13+M14</f>
        <v>75</v>
      </c>
      <c r="N15" s="726" t="s">
        <v>139</v>
      </c>
      <c r="O15" s="727">
        <f>O12+O13+O14</f>
        <v>58</v>
      </c>
      <c r="P15" s="728" t="s">
        <v>139</v>
      </c>
      <c r="Q15" s="729">
        <f>Q12+Q13+Q14</f>
        <v>7</v>
      </c>
      <c r="R15" s="722"/>
      <c r="S15" s="723">
        <f>S12+S13+S14</f>
        <v>0</v>
      </c>
      <c r="T15" s="733">
        <f t="shared" si="0"/>
        <v>279</v>
      </c>
      <c r="V15" s="1"/>
    </row>
    <row r="16" spans="1:23" s="28" customFormat="1" ht="16.5" thickTop="1" x14ac:dyDescent="0.25">
      <c r="B16" s="34"/>
      <c r="C16" s="35"/>
      <c r="D16" s="34"/>
      <c r="E16" s="35"/>
      <c r="F16" s="34"/>
      <c r="G16" s="35"/>
      <c r="H16" s="34"/>
      <c r="I16" s="35"/>
      <c r="J16" s="34"/>
      <c r="K16" s="35"/>
      <c r="L16" s="34"/>
      <c r="M16" s="35"/>
      <c r="N16" s="34"/>
      <c r="O16" s="35"/>
      <c r="P16" s="34"/>
      <c r="Q16" s="35"/>
      <c r="R16" s="35"/>
      <c r="S16" s="34"/>
      <c r="T16" s="34"/>
      <c r="U16" s="34"/>
      <c r="V16" s="34"/>
    </row>
    <row r="17" spans="1:28" s="28" customFormat="1" ht="12.5" customHeight="1" x14ac:dyDescent="0.25">
      <c r="B17" s="787" t="s">
        <v>218</v>
      </c>
      <c r="C17" s="787"/>
      <c r="D17" s="785" t="s">
        <v>219</v>
      </c>
      <c r="E17" s="785"/>
      <c r="F17" s="787" t="s">
        <v>220</v>
      </c>
      <c r="G17" s="787"/>
      <c r="H17" s="785" t="s">
        <v>221</v>
      </c>
      <c r="I17" s="785"/>
      <c r="J17" s="787" t="s">
        <v>222</v>
      </c>
      <c r="K17" s="787"/>
      <c r="L17" s="785" t="s">
        <v>223</v>
      </c>
      <c r="M17" s="785"/>
      <c r="N17" s="787" t="s">
        <v>224</v>
      </c>
      <c r="O17" s="787"/>
      <c r="P17" s="785" t="s">
        <v>225</v>
      </c>
      <c r="Q17" s="785"/>
      <c r="R17" s="787" t="s">
        <v>226</v>
      </c>
      <c r="S17" s="789"/>
      <c r="T17" s="791" t="s">
        <v>489</v>
      </c>
      <c r="U17" s="792"/>
      <c r="V17" s="782" t="s">
        <v>88</v>
      </c>
      <c r="W17" s="782" t="s">
        <v>89</v>
      </c>
      <c r="X17" s="782" t="s">
        <v>327</v>
      </c>
      <c r="Y17" s="784" t="s">
        <v>139</v>
      </c>
    </row>
    <row r="18" spans="1:28" s="28" customFormat="1" ht="31" customHeight="1" thickBot="1" x14ac:dyDescent="0.3">
      <c r="B18" s="788"/>
      <c r="C18" s="788"/>
      <c r="D18" s="786"/>
      <c r="E18" s="786"/>
      <c r="F18" s="788"/>
      <c r="G18" s="788"/>
      <c r="H18" s="786"/>
      <c r="I18" s="786"/>
      <c r="J18" s="788"/>
      <c r="K18" s="788"/>
      <c r="L18" s="786"/>
      <c r="M18" s="786"/>
      <c r="N18" s="788"/>
      <c r="O18" s="788"/>
      <c r="P18" s="786"/>
      <c r="Q18" s="786"/>
      <c r="R18" s="788"/>
      <c r="S18" s="790"/>
      <c r="T18" s="793"/>
      <c r="U18" s="794"/>
      <c r="V18" s="783"/>
      <c r="W18" s="783"/>
      <c r="X18" s="783"/>
      <c r="Y18" s="784"/>
    </row>
    <row r="19" spans="1:28" s="4" customFormat="1" ht="27" thickBot="1" x14ac:dyDescent="0.3">
      <c r="A19" s="1"/>
      <c r="B19" s="37" t="s">
        <v>129</v>
      </c>
      <c r="C19" s="39" t="s">
        <v>49</v>
      </c>
      <c r="D19" s="144"/>
      <c r="E19" s="145"/>
      <c r="F19" s="146"/>
      <c r="G19" s="147"/>
      <c r="H19" s="150"/>
      <c r="I19" s="151"/>
      <c r="J19" s="156"/>
      <c r="K19" s="157"/>
      <c r="L19" s="156"/>
      <c r="M19" s="157"/>
      <c r="N19" s="156"/>
      <c r="O19" s="157"/>
      <c r="P19" s="156"/>
      <c r="Q19" s="157"/>
      <c r="R19" s="382"/>
      <c r="S19" s="383"/>
      <c r="T19" s="541" t="s">
        <v>326</v>
      </c>
      <c r="U19" s="542" t="s">
        <v>173</v>
      </c>
      <c r="V19" s="632">
        <f>COUNTIF(B19:S299, "M")</f>
        <v>156</v>
      </c>
      <c r="W19" s="653">
        <f>COUNTIF(B19:S299, "Z")</f>
        <v>122</v>
      </c>
      <c r="X19" s="720">
        <f>COUNTIF(B19:S299, "X")</f>
        <v>1</v>
      </c>
      <c r="Y19" s="135">
        <f>V19+W19+X19</f>
        <v>279</v>
      </c>
    </row>
    <row r="20" spans="1:28" s="4" customFormat="1" ht="27" customHeight="1" thickTop="1" thickBot="1" x14ac:dyDescent="0.3">
      <c r="A20" s="1"/>
      <c r="B20" s="18"/>
      <c r="C20" s="40"/>
      <c r="D20" s="313" t="s">
        <v>130</v>
      </c>
      <c r="E20" s="312" t="s">
        <v>49</v>
      </c>
      <c r="F20" s="148"/>
      <c r="G20" s="149"/>
      <c r="H20" s="152"/>
      <c r="I20" s="153"/>
      <c r="J20" s="158"/>
      <c r="K20" s="159"/>
      <c r="L20" s="158"/>
      <c r="M20" s="159"/>
      <c r="N20" s="158"/>
      <c r="O20" s="159"/>
      <c r="P20" s="158"/>
      <c r="Q20" s="159"/>
      <c r="R20" s="382"/>
      <c r="S20" s="384"/>
      <c r="T20" s="103" t="s">
        <v>330</v>
      </c>
      <c r="U20" s="104" t="s">
        <v>25</v>
      </c>
      <c r="V20" s="625">
        <f>COUNTIF(D20:S228, "M")</f>
        <v>122</v>
      </c>
      <c r="W20" s="654">
        <f>COUNTIF(D20:S228, "Z")</f>
        <v>85</v>
      </c>
      <c r="X20" s="721">
        <f>COUNTIF(D20:S228, "X")</f>
        <v>1</v>
      </c>
      <c r="Y20" s="129">
        <f t="shared" ref="Y20:Y83" si="1">V20+W20+X20</f>
        <v>208</v>
      </c>
    </row>
    <row r="21" spans="1:28" s="4" customFormat="1" ht="24" thickTop="1" thickBot="1" x14ac:dyDescent="0.3">
      <c r="A21" s="1"/>
      <c r="B21" s="38"/>
      <c r="C21" s="40"/>
      <c r="D21" s="81"/>
      <c r="E21" s="299"/>
      <c r="F21" s="42" t="s">
        <v>127</v>
      </c>
      <c r="G21" s="703" t="s">
        <v>49</v>
      </c>
      <c r="H21" s="154"/>
      <c r="I21" s="155"/>
      <c r="J21" s="158"/>
      <c r="K21" s="159"/>
      <c r="L21" s="158"/>
      <c r="M21" s="159"/>
      <c r="N21" s="158"/>
      <c r="O21" s="159"/>
      <c r="P21" s="158"/>
      <c r="Q21" s="159"/>
      <c r="R21" s="385"/>
      <c r="S21" s="384"/>
      <c r="T21" s="106" t="s">
        <v>332</v>
      </c>
      <c r="U21" s="107" t="s">
        <v>155</v>
      </c>
      <c r="V21" s="614">
        <f>COUNTIF(F21:S100, "M")</f>
        <v>45</v>
      </c>
      <c r="W21" s="655">
        <f>COUNTIF(F21:S100, "Z")</f>
        <v>34</v>
      </c>
      <c r="X21" s="108"/>
      <c r="Y21" s="133">
        <f t="shared" si="1"/>
        <v>79</v>
      </c>
    </row>
    <row r="22" spans="1:28" s="4" customFormat="1" ht="35.5" thickTop="1" thickBot="1" x14ac:dyDescent="0.3">
      <c r="A22" s="1"/>
      <c r="B22" s="18"/>
      <c r="C22" s="40"/>
      <c r="D22" s="81"/>
      <c r="E22" s="299"/>
      <c r="F22" s="31"/>
      <c r="G22" s="47"/>
      <c r="H22" s="50" t="s">
        <v>490</v>
      </c>
      <c r="I22" s="704" t="s">
        <v>49</v>
      </c>
      <c r="J22" s="160"/>
      <c r="K22" s="161"/>
      <c r="L22" s="158"/>
      <c r="M22" s="159"/>
      <c r="N22" s="158"/>
      <c r="O22" s="159"/>
      <c r="P22" s="158"/>
      <c r="Q22" s="159"/>
      <c r="R22" s="386"/>
      <c r="S22" s="384"/>
      <c r="T22" s="547" t="s">
        <v>342</v>
      </c>
      <c r="U22" s="548" t="s">
        <v>161</v>
      </c>
      <c r="V22" s="622">
        <f>COUNTIF(H22:S31, "M")</f>
        <v>2</v>
      </c>
      <c r="W22" s="656">
        <f>COUNTIF(H22:S31, "Z")</f>
        <v>8</v>
      </c>
      <c r="X22" s="549"/>
      <c r="Y22" s="550">
        <f t="shared" si="1"/>
        <v>10</v>
      </c>
    </row>
    <row r="23" spans="1:28" s="1" customFormat="1" ht="17" thickTop="1" thickBot="1" x14ac:dyDescent="0.3">
      <c r="B23" s="18"/>
      <c r="C23" s="40"/>
      <c r="D23" s="431"/>
      <c r="E23" s="300"/>
      <c r="F23" s="31"/>
      <c r="G23" s="48"/>
      <c r="H23" s="30"/>
      <c r="I23" s="60"/>
      <c r="J23" s="67" t="s">
        <v>2</v>
      </c>
      <c r="K23" s="365" t="s">
        <v>50</v>
      </c>
      <c r="L23" s="162"/>
      <c r="M23" s="163"/>
      <c r="N23" s="162"/>
      <c r="O23" s="163"/>
      <c r="P23" s="162"/>
      <c r="Q23" s="163"/>
      <c r="R23" s="387"/>
      <c r="S23" s="388"/>
      <c r="T23" s="113"/>
      <c r="U23" s="114"/>
      <c r="V23" s="633"/>
      <c r="W23" s="657"/>
      <c r="X23" s="471"/>
      <c r="Y23" s="130"/>
    </row>
    <row r="24" spans="1:28" s="1" customFormat="1" ht="17" thickTop="1" thickBot="1" x14ac:dyDescent="0.3">
      <c r="B24" s="18"/>
      <c r="C24" s="40"/>
      <c r="D24" s="81"/>
      <c r="E24" s="300"/>
      <c r="F24" s="43"/>
      <c r="G24" s="48"/>
      <c r="H24" s="30"/>
      <c r="I24" s="60"/>
      <c r="J24" s="67" t="s">
        <v>3</v>
      </c>
      <c r="K24" s="365" t="s">
        <v>50</v>
      </c>
      <c r="L24" s="162"/>
      <c r="M24" s="163"/>
      <c r="N24" s="162"/>
      <c r="O24" s="163"/>
      <c r="P24" s="162"/>
      <c r="Q24" s="163"/>
      <c r="R24" s="387"/>
      <c r="S24" s="388"/>
      <c r="T24" s="115"/>
      <c r="U24" s="116"/>
      <c r="V24" s="634"/>
      <c r="W24" s="658"/>
      <c r="X24" s="472"/>
      <c r="Y24" s="131"/>
    </row>
    <row r="25" spans="1:28" s="1" customFormat="1" ht="17" thickTop="1" thickBot="1" x14ac:dyDescent="0.3">
      <c r="B25" s="18"/>
      <c r="C25" s="40"/>
      <c r="D25" s="81"/>
      <c r="E25" s="300"/>
      <c r="F25" s="31"/>
      <c r="G25" s="48"/>
      <c r="H25" s="51"/>
      <c r="I25" s="60"/>
      <c r="J25" s="67" t="s">
        <v>4</v>
      </c>
      <c r="K25" s="365" t="s">
        <v>50</v>
      </c>
      <c r="L25" s="162"/>
      <c r="M25" s="163"/>
      <c r="N25" s="162"/>
      <c r="O25" s="163"/>
      <c r="P25" s="162"/>
      <c r="Q25" s="163"/>
      <c r="R25" s="387"/>
      <c r="S25" s="388"/>
      <c r="T25" s="115"/>
      <c r="U25" s="116"/>
      <c r="V25" s="634"/>
      <c r="W25" s="658"/>
      <c r="X25" s="472"/>
      <c r="Y25" s="131"/>
    </row>
    <row r="26" spans="1:28" s="1" customFormat="1" ht="17" thickTop="1" thickBot="1" x14ac:dyDescent="0.3">
      <c r="B26" s="18"/>
      <c r="C26" s="40"/>
      <c r="D26" s="81"/>
      <c r="E26" s="300"/>
      <c r="F26" s="43"/>
      <c r="G26" s="48"/>
      <c r="H26" s="30"/>
      <c r="I26" s="60"/>
      <c r="J26" s="67" t="s">
        <v>5</v>
      </c>
      <c r="K26" s="365" t="s">
        <v>50</v>
      </c>
      <c r="L26" s="162"/>
      <c r="M26" s="163"/>
      <c r="N26" s="162"/>
      <c r="O26" s="163"/>
      <c r="P26" s="162"/>
      <c r="Q26" s="163"/>
      <c r="R26" s="387"/>
      <c r="S26" s="388"/>
      <c r="T26" s="117"/>
      <c r="U26" s="118"/>
      <c r="V26" s="635"/>
      <c r="W26" s="659"/>
      <c r="X26" s="473"/>
      <c r="Y26" s="132"/>
    </row>
    <row r="27" spans="1:28" s="1" customFormat="1" ht="24" thickTop="1" thickBot="1" x14ac:dyDescent="0.3">
      <c r="B27" s="18"/>
      <c r="C27" s="40"/>
      <c r="D27" s="81"/>
      <c r="E27" s="300"/>
      <c r="F27" s="31"/>
      <c r="G27" s="48"/>
      <c r="H27" s="30"/>
      <c r="I27" s="60"/>
      <c r="J27" s="272" t="s">
        <v>134</v>
      </c>
      <c r="K27" s="705" t="s">
        <v>49</v>
      </c>
      <c r="L27" s="164"/>
      <c r="M27" s="155"/>
      <c r="N27" s="165"/>
      <c r="O27" s="153"/>
      <c r="P27" s="165"/>
      <c r="Q27" s="153"/>
      <c r="R27" s="389"/>
      <c r="S27" s="390"/>
      <c r="T27" s="106" t="s">
        <v>366</v>
      </c>
      <c r="U27" s="107" t="s">
        <v>172</v>
      </c>
      <c r="V27" s="614">
        <f>COUNTIF(J27:S31, "M")</f>
        <v>1</v>
      </c>
      <c r="W27" s="655">
        <f>COUNTIF(J27:S31, "Z")</f>
        <v>4</v>
      </c>
      <c r="X27" s="108"/>
      <c r="Y27" s="133">
        <f t="shared" si="1"/>
        <v>5</v>
      </c>
      <c r="Z27" s="4"/>
      <c r="AA27" s="4"/>
      <c r="AB27" s="4"/>
    </row>
    <row r="28" spans="1:28" s="1" customFormat="1" ht="17" thickTop="1" thickBot="1" x14ac:dyDescent="0.3">
      <c r="B28" s="18"/>
      <c r="C28" s="40"/>
      <c r="D28" s="81"/>
      <c r="E28" s="300"/>
      <c r="F28" s="31"/>
      <c r="G28" s="48"/>
      <c r="H28" s="30"/>
      <c r="I28" s="60"/>
      <c r="J28" s="43"/>
      <c r="K28" s="266"/>
      <c r="L28" s="67" t="s">
        <v>42</v>
      </c>
      <c r="M28" s="200" t="s">
        <v>50</v>
      </c>
      <c r="N28" s="162"/>
      <c r="O28" s="163"/>
      <c r="P28" s="162"/>
      <c r="Q28" s="163"/>
      <c r="R28" s="387"/>
      <c r="S28" s="388"/>
      <c r="T28" s="113"/>
      <c r="U28" s="119"/>
      <c r="V28" s="633"/>
      <c r="W28" s="657"/>
      <c r="X28" s="471"/>
      <c r="Y28" s="130"/>
    </row>
    <row r="29" spans="1:28" s="1" customFormat="1" ht="17" thickTop="1" thickBot="1" x14ac:dyDescent="0.3">
      <c r="B29" s="18"/>
      <c r="C29" s="40"/>
      <c r="D29" s="81"/>
      <c r="E29" s="300"/>
      <c r="F29" s="31"/>
      <c r="G29" s="48"/>
      <c r="H29" s="30"/>
      <c r="I29" s="60"/>
      <c r="J29" s="43"/>
      <c r="K29" s="266"/>
      <c r="L29" s="67" t="s">
        <v>43</v>
      </c>
      <c r="M29" s="200" t="s">
        <v>50</v>
      </c>
      <c r="N29" s="162"/>
      <c r="O29" s="163"/>
      <c r="P29" s="162"/>
      <c r="Q29" s="163"/>
      <c r="R29" s="387"/>
      <c r="S29" s="388"/>
      <c r="T29" s="115"/>
      <c r="U29" s="120"/>
      <c r="V29" s="634"/>
      <c r="W29" s="658"/>
      <c r="X29" s="472"/>
      <c r="Y29" s="131"/>
    </row>
    <row r="30" spans="1:28" s="1" customFormat="1" ht="17" thickTop="1" thickBot="1" x14ac:dyDescent="0.3">
      <c r="B30" s="18"/>
      <c r="C30" s="40"/>
      <c r="D30" s="81"/>
      <c r="E30" s="300"/>
      <c r="F30" s="31"/>
      <c r="G30" s="48"/>
      <c r="H30" s="30"/>
      <c r="I30" s="60"/>
      <c r="J30" s="43"/>
      <c r="K30" s="266"/>
      <c r="L30" s="67" t="s">
        <v>44</v>
      </c>
      <c r="M30" s="200" t="s">
        <v>50</v>
      </c>
      <c r="N30" s="162"/>
      <c r="O30" s="163"/>
      <c r="P30" s="162"/>
      <c r="Q30" s="163"/>
      <c r="R30" s="387"/>
      <c r="S30" s="388"/>
      <c r="T30" s="115"/>
      <c r="U30" s="120"/>
      <c r="V30" s="634"/>
      <c r="W30" s="658"/>
      <c r="X30" s="472"/>
      <c r="Y30" s="131"/>
    </row>
    <row r="31" spans="1:28" s="1" customFormat="1" ht="17" thickTop="1" thickBot="1" x14ac:dyDescent="0.3">
      <c r="B31" s="18"/>
      <c r="C31" s="40"/>
      <c r="D31" s="81"/>
      <c r="E31" s="300"/>
      <c r="F31" s="31"/>
      <c r="G31" s="48"/>
      <c r="H31" s="30"/>
      <c r="I31" s="60"/>
      <c r="J31" s="269"/>
      <c r="K31" s="270"/>
      <c r="L31" s="67" t="s">
        <v>4</v>
      </c>
      <c r="M31" s="200" t="s">
        <v>50</v>
      </c>
      <c r="N31" s="162"/>
      <c r="O31" s="163"/>
      <c r="P31" s="162"/>
      <c r="Q31" s="163"/>
      <c r="R31" s="387"/>
      <c r="S31" s="287"/>
      <c r="T31" s="117"/>
      <c r="U31" s="121"/>
      <c r="V31" s="635"/>
      <c r="W31" s="659"/>
      <c r="X31" s="473"/>
      <c r="Y31" s="132"/>
    </row>
    <row r="32" spans="1:28" s="1" customFormat="1" ht="17" thickTop="1" thickBot="1" x14ac:dyDescent="0.3">
      <c r="B32" s="18"/>
      <c r="C32" s="40"/>
      <c r="D32" s="81"/>
      <c r="E32" s="300"/>
      <c r="F32" s="31"/>
      <c r="G32" s="48"/>
      <c r="H32" s="340" t="s">
        <v>491</v>
      </c>
      <c r="I32" s="312" t="s">
        <v>49</v>
      </c>
      <c r="J32" s="138"/>
      <c r="K32" s="139"/>
      <c r="L32" s="140"/>
      <c r="M32" s="141"/>
      <c r="N32" s="165"/>
      <c r="O32" s="153"/>
      <c r="P32" s="165"/>
      <c r="Q32" s="153"/>
      <c r="R32" s="385"/>
      <c r="S32" s="391"/>
      <c r="T32" s="103" t="s">
        <v>343</v>
      </c>
      <c r="U32" s="104" t="s">
        <v>162</v>
      </c>
      <c r="V32" s="625">
        <f>COUNTIF(H32:S53, "M")</f>
        <v>8</v>
      </c>
      <c r="W32" s="654">
        <f>COUNTIF(H32:S53,"Z")</f>
        <v>14</v>
      </c>
      <c r="X32" s="105"/>
      <c r="Y32" s="129">
        <f t="shared" si="1"/>
        <v>22</v>
      </c>
      <c r="Z32" s="4"/>
      <c r="AA32" s="4"/>
      <c r="AB32" s="4"/>
    </row>
    <row r="33" spans="2:29" s="1" customFormat="1" ht="35.5" thickTop="1" thickBot="1" x14ac:dyDescent="0.3">
      <c r="B33" s="18"/>
      <c r="C33" s="40"/>
      <c r="D33" s="81"/>
      <c r="E33" s="300"/>
      <c r="F33" s="31"/>
      <c r="G33" s="48"/>
      <c r="H33" s="298"/>
      <c r="I33" s="300"/>
      <c r="J33" s="452" t="s">
        <v>186</v>
      </c>
      <c r="K33" s="706" t="s">
        <v>49</v>
      </c>
      <c r="L33" s="142"/>
      <c r="M33" s="143"/>
      <c r="N33" s="165"/>
      <c r="O33" s="153"/>
      <c r="P33" s="165"/>
      <c r="Q33" s="153"/>
      <c r="R33" s="386"/>
      <c r="S33" s="390"/>
      <c r="T33" s="547" t="s">
        <v>367</v>
      </c>
      <c r="U33" s="548" t="s">
        <v>170</v>
      </c>
      <c r="V33" s="622">
        <f>COUNTIF(J33:S43, "M")</f>
        <v>5</v>
      </c>
      <c r="W33" s="656">
        <f>COUNTIF(J33:S43, "Z")</f>
        <v>6</v>
      </c>
      <c r="X33" s="549"/>
      <c r="Y33" s="550">
        <f t="shared" si="1"/>
        <v>11</v>
      </c>
      <c r="Z33" s="4"/>
      <c r="AA33" s="4"/>
      <c r="AB33" s="4"/>
      <c r="AC33" s="4"/>
    </row>
    <row r="34" spans="2:29" s="1" customFormat="1" ht="24" thickTop="1" thickBot="1" x14ac:dyDescent="0.3">
      <c r="B34" s="18"/>
      <c r="C34" s="40"/>
      <c r="D34" s="81"/>
      <c r="E34" s="300"/>
      <c r="F34" s="31"/>
      <c r="G34" s="48"/>
      <c r="H34" s="298"/>
      <c r="I34" s="300"/>
      <c r="J34" s="51"/>
      <c r="K34" s="324"/>
      <c r="L34" s="364" t="s">
        <v>189</v>
      </c>
      <c r="M34" s="200" t="s">
        <v>50</v>
      </c>
      <c r="N34" s="162"/>
      <c r="O34" s="163"/>
      <c r="P34" s="162"/>
      <c r="Q34" s="163"/>
      <c r="R34" s="387"/>
      <c r="S34" s="388"/>
      <c r="T34" s="478"/>
      <c r="U34" s="479"/>
      <c r="V34" s="636"/>
      <c r="W34" s="660"/>
      <c r="X34" s="480"/>
      <c r="Y34" s="481"/>
    </row>
    <row r="35" spans="2:29" s="1" customFormat="1" ht="27.5" thickTop="1" thickBot="1" x14ac:dyDescent="0.3">
      <c r="B35" s="37" t="s">
        <v>129</v>
      </c>
      <c r="C35" s="40"/>
      <c r="D35" s="694" t="s">
        <v>130</v>
      </c>
      <c r="E35" s="300"/>
      <c r="F35" s="695" t="s">
        <v>127</v>
      </c>
      <c r="G35" s="48"/>
      <c r="H35" s="298"/>
      <c r="I35" s="300"/>
      <c r="J35" s="51"/>
      <c r="K35" s="324"/>
      <c r="L35" s="307" t="s">
        <v>503</v>
      </c>
      <c r="M35" s="707" t="s">
        <v>49</v>
      </c>
      <c r="N35" s="164"/>
      <c r="O35" s="155"/>
      <c r="P35" s="165"/>
      <c r="Q35" s="153"/>
      <c r="R35" s="389"/>
      <c r="S35" s="390"/>
      <c r="T35" s="482" t="s">
        <v>412</v>
      </c>
      <c r="U35" s="551" t="s">
        <v>227</v>
      </c>
      <c r="V35" s="637">
        <f>COUNTIF(L35:S37, "M")</f>
        <v>2</v>
      </c>
      <c r="W35" s="661">
        <f>COUNTIF(L35:S37, "Z")</f>
        <v>1</v>
      </c>
      <c r="X35" s="483"/>
      <c r="Y35" s="484">
        <f t="shared" si="1"/>
        <v>3</v>
      </c>
      <c r="Z35" s="4"/>
      <c r="AA35" s="4"/>
    </row>
    <row r="36" spans="2:29" s="1" customFormat="1" ht="24" thickTop="1" thickBot="1" x14ac:dyDescent="0.3">
      <c r="B36" s="18"/>
      <c r="C36" s="40"/>
      <c r="D36" s="81"/>
      <c r="E36" s="300"/>
      <c r="F36" s="31"/>
      <c r="G36" s="48"/>
      <c r="H36" s="298"/>
      <c r="I36" s="300"/>
      <c r="J36" s="51"/>
      <c r="K36" s="324"/>
      <c r="L36" s="462"/>
      <c r="M36" s="330"/>
      <c r="N36" s="67" t="s">
        <v>200</v>
      </c>
      <c r="O36" s="200" t="s">
        <v>50</v>
      </c>
      <c r="P36" s="162"/>
      <c r="Q36" s="163"/>
      <c r="R36" s="387"/>
      <c r="S36" s="388"/>
      <c r="T36" s="478"/>
      <c r="U36" s="479"/>
      <c r="V36" s="636"/>
      <c r="W36" s="660"/>
      <c r="X36" s="480"/>
      <c r="Y36" s="481"/>
    </row>
    <row r="37" spans="2:29" s="1" customFormat="1" ht="17" thickTop="1" thickBot="1" x14ac:dyDescent="0.3">
      <c r="B37" s="18"/>
      <c r="C37" s="40"/>
      <c r="D37" s="81"/>
      <c r="E37" s="300"/>
      <c r="F37" s="31"/>
      <c r="G37" s="48"/>
      <c r="H37" s="298"/>
      <c r="I37" s="300"/>
      <c r="J37" s="51"/>
      <c r="K37" s="324"/>
      <c r="L37" s="323"/>
      <c r="M37" s="338"/>
      <c r="N37" s="446" t="s">
        <v>99</v>
      </c>
      <c r="O37" s="437" t="s">
        <v>49</v>
      </c>
      <c r="P37" s="165"/>
      <c r="Q37" s="153"/>
      <c r="R37" s="392"/>
      <c r="S37" s="390"/>
      <c r="T37" s="552" t="s">
        <v>453</v>
      </c>
      <c r="U37" s="553" t="s">
        <v>162</v>
      </c>
      <c r="V37" s="638">
        <v>1</v>
      </c>
      <c r="W37" s="662">
        <v>0</v>
      </c>
      <c r="X37" s="554"/>
      <c r="Y37" s="555">
        <f t="shared" si="1"/>
        <v>1</v>
      </c>
      <c r="Z37" s="4"/>
      <c r="AA37" s="4"/>
      <c r="AB37" s="4"/>
    </row>
    <row r="38" spans="2:29" s="1" customFormat="1" ht="24" thickTop="1" thickBot="1" x14ac:dyDescent="0.3">
      <c r="B38" s="18"/>
      <c r="C38" s="40"/>
      <c r="D38" s="81"/>
      <c r="E38" s="300"/>
      <c r="F38" s="31"/>
      <c r="G38" s="48"/>
      <c r="H38" s="298"/>
      <c r="I38" s="300"/>
      <c r="J38" s="51"/>
      <c r="K38" s="324"/>
      <c r="L38" s="67" t="s">
        <v>235</v>
      </c>
      <c r="M38" s="200" t="s">
        <v>50</v>
      </c>
      <c r="N38" s="168"/>
      <c r="O38" s="166"/>
      <c r="P38" s="162"/>
      <c r="Q38" s="163"/>
      <c r="R38" s="387"/>
      <c r="S38" s="388"/>
      <c r="T38" s="478"/>
      <c r="U38" s="479"/>
      <c r="V38" s="636"/>
      <c r="W38" s="660"/>
      <c r="X38" s="480"/>
      <c r="Y38" s="481"/>
    </row>
    <row r="39" spans="2:29" s="1" customFormat="1" ht="35.5" thickTop="1" thickBot="1" x14ac:dyDescent="0.3">
      <c r="B39" s="18"/>
      <c r="C39" s="40"/>
      <c r="D39" s="81"/>
      <c r="E39" s="300"/>
      <c r="F39" s="31"/>
      <c r="G39" s="48"/>
      <c r="H39" s="298"/>
      <c r="I39" s="300"/>
      <c r="J39" s="51"/>
      <c r="K39" s="324"/>
      <c r="L39" s="262" t="s">
        <v>516</v>
      </c>
      <c r="M39" s="705" t="s">
        <v>49</v>
      </c>
      <c r="N39" s="164"/>
      <c r="O39" s="167"/>
      <c r="P39" s="371"/>
      <c r="Q39" s="372"/>
      <c r="R39" s="389"/>
      <c r="S39" s="390"/>
      <c r="T39" s="556" t="s">
        <v>413</v>
      </c>
      <c r="U39" s="557" t="s">
        <v>228</v>
      </c>
      <c r="V39" s="639">
        <f>COUNTIF(L39:S43, "M")</f>
        <v>2</v>
      </c>
      <c r="W39" s="663">
        <f>COUNTIF(L39:S43, "Z")</f>
        <v>3</v>
      </c>
      <c r="X39" s="558"/>
      <c r="Y39" s="559">
        <f t="shared" si="1"/>
        <v>5</v>
      </c>
    </row>
    <row r="40" spans="2:29" s="1" customFormat="1" ht="24" thickTop="1" thickBot="1" x14ac:dyDescent="0.3">
      <c r="B40" s="18"/>
      <c r="C40" s="40"/>
      <c r="D40" s="81"/>
      <c r="E40" s="300"/>
      <c r="F40" s="31"/>
      <c r="G40" s="48"/>
      <c r="H40" s="298"/>
      <c r="I40" s="300"/>
      <c r="J40" s="51"/>
      <c r="K40" s="324"/>
      <c r="L40" s="262"/>
      <c r="M40" s="265"/>
      <c r="N40" s="67" t="s">
        <v>236</v>
      </c>
      <c r="O40" s="200" t="s">
        <v>50</v>
      </c>
      <c r="P40" s="162"/>
      <c r="Q40" s="163"/>
      <c r="R40" s="387"/>
      <c r="S40" s="388"/>
      <c r="T40" s="491"/>
      <c r="U40" s="492"/>
      <c r="V40" s="615"/>
      <c r="W40" s="664"/>
      <c r="X40" s="493"/>
      <c r="Y40" s="494"/>
    </row>
    <row r="41" spans="2:29" s="1" customFormat="1" ht="24" thickTop="1" thickBot="1" x14ac:dyDescent="0.3">
      <c r="B41" s="18"/>
      <c r="C41" s="40"/>
      <c r="D41" s="81"/>
      <c r="E41" s="300"/>
      <c r="F41" s="31"/>
      <c r="G41" s="48"/>
      <c r="H41" s="298"/>
      <c r="I41" s="300"/>
      <c r="J41" s="51"/>
      <c r="K41" s="324"/>
      <c r="L41" s="262"/>
      <c r="M41" s="265"/>
      <c r="N41" s="67" t="s">
        <v>237</v>
      </c>
      <c r="O41" s="200" t="s">
        <v>50</v>
      </c>
      <c r="P41" s="162"/>
      <c r="Q41" s="163"/>
      <c r="R41" s="387"/>
      <c r="S41" s="388"/>
      <c r="T41" s="495"/>
      <c r="U41" s="496"/>
      <c r="V41" s="628"/>
      <c r="W41" s="665"/>
      <c r="X41" s="497"/>
      <c r="Y41" s="498"/>
    </row>
    <row r="42" spans="2:29" s="1" customFormat="1" ht="24" thickTop="1" thickBot="1" x14ac:dyDescent="0.3">
      <c r="B42" s="38"/>
      <c r="C42" s="40"/>
      <c r="D42" s="81"/>
      <c r="E42" s="300"/>
      <c r="F42" s="31"/>
      <c r="G42" s="48"/>
      <c r="H42" s="298"/>
      <c r="I42" s="299"/>
      <c r="J42" s="51"/>
      <c r="K42" s="324"/>
      <c r="L42" s="262"/>
      <c r="M42" s="266"/>
      <c r="N42" s="67" t="s">
        <v>201</v>
      </c>
      <c r="O42" s="200" t="s">
        <v>50</v>
      </c>
      <c r="P42" s="162"/>
      <c r="Q42" s="163"/>
      <c r="R42" s="387"/>
      <c r="S42" s="287"/>
      <c r="T42" s="499"/>
      <c r="U42" s="500"/>
      <c r="V42" s="640"/>
      <c r="W42" s="666"/>
      <c r="X42" s="501"/>
      <c r="Y42" s="502"/>
    </row>
    <row r="43" spans="2:29" s="1" customFormat="1" ht="17" thickTop="1" thickBot="1" x14ac:dyDescent="0.3">
      <c r="B43" s="18"/>
      <c r="C43" s="40"/>
      <c r="D43" s="81"/>
      <c r="E43" s="300"/>
      <c r="F43" s="31"/>
      <c r="G43" s="48"/>
      <c r="H43" s="298"/>
      <c r="I43" s="300"/>
      <c r="J43" s="337"/>
      <c r="K43" s="324"/>
      <c r="L43" s="349"/>
      <c r="M43" s="270"/>
      <c r="N43" s="446" t="s">
        <v>505</v>
      </c>
      <c r="O43" s="437" t="s">
        <v>49</v>
      </c>
      <c r="P43" s="165"/>
      <c r="Q43" s="153"/>
      <c r="R43" s="393"/>
      <c r="S43" s="391"/>
      <c r="T43" s="560" t="s">
        <v>454</v>
      </c>
      <c r="U43" s="561" t="s">
        <v>231</v>
      </c>
      <c r="V43" s="641">
        <v>1</v>
      </c>
      <c r="W43" s="667">
        <v>0</v>
      </c>
      <c r="X43" s="562"/>
      <c r="Y43" s="563">
        <f t="shared" si="1"/>
        <v>1</v>
      </c>
    </row>
    <row r="44" spans="2:29" s="1" customFormat="1" ht="24" thickTop="1" thickBot="1" x14ac:dyDescent="0.3">
      <c r="B44" s="18"/>
      <c r="C44" s="40"/>
      <c r="D44" s="81"/>
      <c r="E44" s="300"/>
      <c r="F44" s="31"/>
      <c r="G44" s="48"/>
      <c r="H44" s="298"/>
      <c r="I44" s="300"/>
      <c r="J44" s="65" t="s">
        <v>499</v>
      </c>
      <c r="K44" s="707" t="s">
        <v>49</v>
      </c>
      <c r="L44" s="170"/>
      <c r="M44" s="171"/>
      <c r="N44" s="172"/>
      <c r="O44" s="173"/>
      <c r="P44" s="165"/>
      <c r="Q44" s="153"/>
      <c r="R44" s="394"/>
      <c r="S44" s="390"/>
      <c r="T44" s="102" t="s">
        <v>368</v>
      </c>
      <c r="U44" s="564" t="s">
        <v>171</v>
      </c>
      <c r="V44" s="612">
        <f>COUNTIF(J44:O49, "M")</f>
        <v>2</v>
      </c>
      <c r="W44" s="668">
        <f>COUNTIF(J44:O49, "Z")</f>
        <v>4</v>
      </c>
      <c r="X44" s="112"/>
      <c r="Y44" s="134">
        <f t="shared" si="1"/>
        <v>6</v>
      </c>
    </row>
    <row r="45" spans="2:29" s="1" customFormat="1" ht="24" thickTop="1" thickBot="1" x14ac:dyDescent="0.3">
      <c r="B45" s="18"/>
      <c r="C45" s="40"/>
      <c r="D45" s="81"/>
      <c r="E45" s="300"/>
      <c r="F45" s="31"/>
      <c r="G45" s="48"/>
      <c r="H45" s="298"/>
      <c r="I45" s="300"/>
      <c r="J45" s="65"/>
      <c r="K45" s="260"/>
      <c r="L45" s="67" t="s">
        <v>504</v>
      </c>
      <c r="M45" s="200" t="s">
        <v>50</v>
      </c>
      <c r="N45" s="174"/>
      <c r="O45" s="175"/>
      <c r="P45" s="162"/>
      <c r="Q45" s="163"/>
      <c r="R45" s="387"/>
      <c r="S45" s="388"/>
      <c r="T45" s="478"/>
      <c r="U45" s="479"/>
      <c r="V45" s="636"/>
      <c r="W45" s="660"/>
      <c r="X45" s="480"/>
      <c r="Y45" s="481"/>
    </row>
    <row r="46" spans="2:29" s="1" customFormat="1" ht="35.5" thickTop="1" thickBot="1" x14ac:dyDescent="0.3">
      <c r="B46" s="18"/>
      <c r="C46" s="40"/>
      <c r="D46" s="81"/>
      <c r="E46" s="300"/>
      <c r="F46" s="31"/>
      <c r="G46" s="48"/>
      <c r="H46" s="298"/>
      <c r="I46" s="300"/>
      <c r="J46" s="65"/>
      <c r="K46" s="260"/>
      <c r="L46" s="317" t="s">
        <v>239</v>
      </c>
      <c r="M46" s="702" t="s">
        <v>49</v>
      </c>
      <c r="N46" s="176"/>
      <c r="O46" s="177"/>
      <c r="P46" s="165"/>
      <c r="Q46" s="153"/>
      <c r="R46" s="389"/>
      <c r="S46" s="390"/>
      <c r="T46" s="565" t="s">
        <v>414</v>
      </c>
      <c r="U46" s="566" t="s">
        <v>229</v>
      </c>
      <c r="V46" s="642">
        <f>COUNTIF(L46:S48, "M")</f>
        <v>1</v>
      </c>
      <c r="W46" s="669">
        <f>COUNTIF(L46:S48, "Z")</f>
        <v>2</v>
      </c>
      <c r="X46" s="567"/>
      <c r="Y46" s="568">
        <f t="shared" si="1"/>
        <v>3</v>
      </c>
      <c r="Z46" s="4"/>
      <c r="AA46" s="4"/>
    </row>
    <row r="47" spans="2:29" s="1" customFormat="1" ht="24" thickTop="1" thickBot="1" x14ac:dyDescent="0.3">
      <c r="B47" s="18"/>
      <c r="C47" s="40"/>
      <c r="D47" s="81"/>
      <c r="E47" s="300"/>
      <c r="F47" s="31"/>
      <c r="G47" s="48"/>
      <c r="H47" s="298"/>
      <c r="I47" s="300"/>
      <c r="J47" s="65"/>
      <c r="K47" s="260"/>
      <c r="L47" s="303"/>
      <c r="M47" s="326"/>
      <c r="N47" s="67" t="s">
        <v>238</v>
      </c>
      <c r="O47" s="200" t="s">
        <v>50</v>
      </c>
      <c r="P47" s="162"/>
      <c r="Q47" s="163"/>
      <c r="R47" s="387"/>
      <c r="S47" s="388"/>
      <c r="T47" s="485"/>
      <c r="U47" s="486"/>
      <c r="V47" s="643"/>
      <c r="W47" s="670"/>
      <c r="X47" s="503"/>
      <c r="Y47" s="504"/>
    </row>
    <row r="48" spans="2:29" s="1" customFormat="1" ht="27.5" thickTop="1" thickBot="1" x14ac:dyDescent="0.3">
      <c r="B48" s="18" t="s">
        <v>129</v>
      </c>
      <c r="C48" s="40"/>
      <c r="D48" s="81" t="s">
        <v>130</v>
      </c>
      <c r="E48" s="300"/>
      <c r="F48" s="31" t="s">
        <v>127</v>
      </c>
      <c r="G48" s="48"/>
      <c r="H48" s="298" t="s">
        <v>491</v>
      </c>
      <c r="I48" s="300"/>
      <c r="J48" s="65"/>
      <c r="K48" s="110"/>
      <c r="L48" s="306"/>
      <c r="M48" s="327"/>
      <c r="N48" s="67" t="s">
        <v>240</v>
      </c>
      <c r="O48" s="200" t="s">
        <v>50</v>
      </c>
      <c r="P48" s="162"/>
      <c r="Q48" s="163"/>
      <c r="R48" s="387"/>
      <c r="S48" s="388"/>
      <c r="T48" s="487"/>
      <c r="U48" s="488"/>
      <c r="V48" s="644"/>
      <c r="W48" s="671"/>
      <c r="X48" s="505"/>
      <c r="Y48" s="506"/>
    </row>
    <row r="49" spans="2:29" s="1" customFormat="1" ht="24" thickTop="1" thickBot="1" x14ac:dyDescent="0.3">
      <c r="B49" s="18"/>
      <c r="C49" s="40"/>
      <c r="D49" s="81"/>
      <c r="E49" s="300"/>
      <c r="F49" s="31"/>
      <c r="G49" s="48"/>
      <c r="H49" s="298"/>
      <c r="I49" s="300"/>
      <c r="J49" s="261"/>
      <c r="K49" s="110"/>
      <c r="L49" s="67" t="s">
        <v>190</v>
      </c>
      <c r="M49" s="200" t="s">
        <v>50</v>
      </c>
      <c r="N49" s="228"/>
      <c r="O49" s="208"/>
      <c r="P49" s="162"/>
      <c r="Q49" s="163"/>
      <c r="R49" s="387"/>
      <c r="S49" s="388"/>
      <c r="T49" s="487"/>
      <c r="U49" s="488"/>
      <c r="V49" s="644"/>
      <c r="W49" s="671"/>
      <c r="X49" s="505"/>
      <c r="Y49" s="506"/>
    </row>
    <row r="50" spans="2:29" s="1" customFormat="1" ht="17" thickTop="1" thickBot="1" x14ac:dyDescent="0.3">
      <c r="B50" s="18"/>
      <c r="C50" s="40"/>
      <c r="D50" s="81"/>
      <c r="E50" s="300"/>
      <c r="F50" s="31"/>
      <c r="G50" s="48"/>
      <c r="H50" s="298"/>
      <c r="I50" s="300"/>
      <c r="J50" s="67" t="s">
        <v>241</v>
      </c>
      <c r="K50" s="200" t="s">
        <v>50</v>
      </c>
      <c r="L50" s="228"/>
      <c r="M50" s="208"/>
      <c r="N50" s="162"/>
      <c r="O50" s="163"/>
      <c r="P50" s="162"/>
      <c r="Q50" s="163"/>
      <c r="R50" s="387"/>
      <c r="S50" s="388"/>
      <c r="T50" s="487"/>
      <c r="U50" s="488"/>
      <c r="V50" s="644"/>
      <c r="W50" s="671"/>
      <c r="X50" s="505"/>
      <c r="Y50" s="506"/>
    </row>
    <row r="51" spans="2:29" s="1" customFormat="1" ht="17" thickTop="1" thickBot="1" x14ac:dyDescent="0.3">
      <c r="B51" s="18"/>
      <c r="C51" s="40"/>
      <c r="D51" s="81"/>
      <c r="E51" s="300"/>
      <c r="F51" s="31"/>
      <c r="G51" s="48"/>
      <c r="H51" s="298"/>
      <c r="I51" s="300"/>
      <c r="J51" s="67" t="s">
        <v>242</v>
      </c>
      <c r="K51" s="200" t="s">
        <v>50</v>
      </c>
      <c r="L51" s="162"/>
      <c r="M51" s="163"/>
      <c r="N51" s="162"/>
      <c r="O51" s="163"/>
      <c r="P51" s="162"/>
      <c r="Q51" s="163"/>
      <c r="R51" s="387"/>
      <c r="S51" s="388"/>
      <c r="T51" s="487"/>
      <c r="U51" s="488"/>
      <c r="V51" s="644"/>
      <c r="W51" s="671"/>
      <c r="X51" s="505"/>
      <c r="Y51" s="506"/>
    </row>
    <row r="52" spans="2:29" s="1" customFormat="1" ht="24" thickTop="1" thickBot="1" x14ac:dyDescent="0.3">
      <c r="B52" s="18"/>
      <c r="C52" s="40"/>
      <c r="D52" s="81"/>
      <c r="E52" s="300"/>
      <c r="F52" s="31"/>
      <c r="G52" s="48"/>
      <c r="H52" s="298"/>
      <c r="I52" s="300"/>
      <c r="J52" s="67" t="s">
        <v>243</v>
      </c>
      <c r="K52" s="200" t="s">
        <v>50</v>
      </c>
      <c r="L52" s="162"/>
      <c r="M52" s="163"/>
      <c r="N52" s="162"/>
      <c r="O52" s="163"/>
      <c r="P52" s="162"/>
      <c r="Q52" s="163"/>
      <c r="R52" s="387"/>
      <c r="S52" s="388"/>
      <c r="T52" s="487"/>
      <c r="U52" s="488"/>
      <c r="V52" s="644"/>
      <c r="W52" s="671"/>
      <c r="X52" s="505"/>
      <c r="Y52" s="506"/>
    </row>
    <row r="53" spans="2:29" s="1" customFormat="1" ht="17" thickTop="1" thickBot="1" x14ac:dyDescent="0.3">
      <c r="B53" s="18"/>
      <c r="C53" s="40"/>
      <c r="D53" s="81"/>
      <c r="E53" s="300"/>
      <c r="F53" s="31"/>
      <c r="G53" s="48"/>
      <c r="H53" s="301"/>
      <c r="I53" s="300"/>
      <c r="J53" s="67" t="s">
        <v>244</v>
      </c>
      <c r="K53" s="200" t="s">
        <v>50</v>
      </c>
      <c r="L53" s="162"/>
      <c r="M53" s="163"/>
      <c r="N53" s="162"/>
      <c r="O53" s="163"/>
      <c r="P53" s="162"/>
      <c r="Q53" s="163"/>
      <c r="R53" s="387"/>
      <c r="S53" s="287"/>
      <c r="T53" s="489"/>
      <c r="U53" s="490"/>
      <c r="V53" s="645"/>
      <c r="W53" s="672"/>
      <c r="X53" s="507"/>
      <c r="Y53" s="508"/>
    </row>
    <row r="54" spans="2:29" s="1" customFormat="1" ht="24" thickTop="1" thickBot="1" x14ac:dyDescent="0.3">
      <c r="B54" s="18"/>
      <c r="C54" s="40"/>
      <c r="D54" s="81"/>
      <c r="E54" s="300"/>
      <c r="F54" s="31"/>
      <c r="G54" s="48"/>
      <c r="H54" s="30" t="s">
        <v>128</v>
      </c>
      <c r="I54" s="704" t="s">
        <v>49</v>
      </c>
      <c r="J54" s="182"/>
      <c r="K54" s="183"/>
      <c r="L54" s="165"/>
      <c r="M54" s="153"/>
      <c r="N54" s="165"/>
      <c r="O54" s="153"/>
      <c r="P54" s="165"/>
      <c r="Q54" s="153"/>
      <c r="R54" s="382"/>
      <c r="S54" s="395"/>
      <c r="T54" s="565" t="s">
        <v>344</v>
      </c>
      <c r="U54" s="566" t="s">
        <v>0</v>
      </c>
      <c r="V54" s="642">
        <f>COUNTIF(H54:S69, "M")</f>
        <v>11</v>
      </c>
      <c r="W54" s="669">
        <f>COUNTIF(H54:S69, "Z")</f>
        <v>5</v>
      </c>
      <c r="X54" s="567"/>
      <c r="Y54" s="568">
        <f t="shared" si="1"/>
        <v>16</v>
      </c>
    </row>
    <row r="55" spans="2:29" s="1" customFormat="1" ht="17" thickTop="1" thickBot="1" x14ac:dyDescent="0.3">
      <c r="B55" s="18"/>
      <c r="C55" s="40"/>
      <c r="D55" s="81"/>
      <c r="E55" s="300"/>
      <c r="F55" s="31"/>
      <c r="G55" s="48"/>
      <c r="H55" s="30"/>
      <c r="I55" s="60"/>
      <c r="J55" s="262" t="s">
        <v>8</v>
      </c>
      <c r="K55" s="708" t="s">
        <v>49</v>
      </c>
      <c r="L55" s="209"/>
      <c r="M55" s="210"/>
      <c r="N55" s="165"/>
      <c r="O55" s="153"/>
      <c r="P55" s="165"/>
      <c r="Q55" s="153"/>
      <c r="R55" s="393"/>
      <c r="S55" s="391"/>
      <c r="T55" s="106" t="s">
        <v>369</v>
      </c>
      <c r="U55" s="109" t="s">
        <v>8</v>
      </c>
      <c r="V55" s="639">
        <f>COUNTIF(H55:S57,"M")</f>
        <v>3</v>
      </c>
      <c r="W55" s="663">
        <f>COUNTIF(H55:S57, "Z")</f>
        <v>0</v>
      </c>
      <c r="X55" s="558"/>
      <c r="Y55" s="133">
        <f t="shared" si="1"/>
        <v>3</v>
      </c>
    </row>
    <row r="56" spans="2:29" s="1" customFormat="1" ht="17" thickTop="1" thickBot="1" x14ac:dyDescent="0.3">
      <c r="B56" s="18"/>
      <c r="C56" s="40"/>
      <c r="D56" s="81"/>
      <c r="E56" s="300"/>
      <c r="F56" s="43"/>
      <c r="G56" s="48"/>
      <c r="H56" s="30"/>
      <c r="I56" s="60"/>
      <c r="J56" s="262"/>
      <c r="K56" s="263"/>
      <c r="L56" s="442" t="s">
        <v>51</v>
      </c>
      <c r="M56" s="437" t="s">
        <v>49</v>
      </c>
      <c r="N56" s="165"/>
      <c r="O56" s="153"/>
      <c r="P56" s="165"/>
      <c r="Q56" s="153"/>
      <c r="R56" s="396"/>
      <c r="S56" s="390"/>
      <c r="T56" s="569" t="s">
        <v>415</v>
      </c>
      <c r="U56" s="570" t="s">
        <v>51</v>
      </c>
      <c r="V56" s="609">
        <v>1</v>
      </c>
      <c r="W56" s="673">
        <v>0</v>
      </c>
      <c r="X56" s="571"/>
      <c r="Y56" s="572">
        <f t="shared" si="1"/>
        <v>1</v>
      </c>
      <c r="Z56" s="4"/>
    </row>
    <row r="57" spans="2:29" s="1" customFormat="1" ht="17" thickTop="1" thickBot="1" x14ac:dyDescent="0.3">
      <c r="B57" s="18"/>
      <c r="C57" s="40"/>
      <c r="D57" s="81"/>
      <c r="E57" s="300"/>
      <c r="F57" s="31"/>
      <c r="G57" s="48"/>
      <c r="H57" s="30"/>
      <c r="I57" s="60"/>
      <c r="J57" s="264"/>
      <c r="K57" s="263"/>
      <c r="L57" s="442" t="s">
        <v>52</v>
      </c>
      <c r="M57" s="437" t="s">
        <v>49</v>
      </c>
      <c r="N57" s="165"/>
      <c r="O57" s="153"/>
      <c r="P57" s="165"/>
      <c r="Q57" s="153"/>
      <c r="R57" s="396"/>
      <c r="S57" s="390"/>
      <c r="T57" s="569" t="s">
        <v>416</v>
      </c>
      <c r="U57" s="570" t="s">
        <v>52</v>
      </c>
      <c r="V57" s="609">
        <v>1</v>
      </c>
      <c r="W57" s="673">
        <v>0</v>
      </c>
      <c r="X57" s="571"/>
      <c r="Y57" s="572">
        <f t="shared" si="1"/>
        <v>1</v>
      </c>
      <c r="Z57" s="4"/>
    </row>
    <row r="58" spans="2:29" s="1" customFormat="1" ht="35.5" thickTop="1" thickBot="1" x14ac:dyDescent="0.3">
      <c r="B58" s="18"/>
      <c r="C58" s="40"/>
      <c r="D58" s="81"/>
      <c r="E58" s="300"/>
      <c r="F58" s="31"/>
      <c r="G58" s="48"/>
      <c r="H58" s="30"/>
      <c r="I58" s="60"/>
      <c r="J58" s="27" t="s">
        <v>187</v>
      </c>
      <c r="K58" s="709" t="s">
        <v>49</v>
      </c>
      <c r="L58" s="138"/>
      <c r="M58" s="229"/>
      <c r="N58" s="165"/>
      <c r="O58" s="153"/>
      <c r="P58" s="165"/>
      <c r="Q58" s="153"/>
      <c r="R58" s="386"/>
      <c r="S58" s="397"/>
      <c r="T58" s="102" t="s">
        <v>370</v>
      </c>
      <c r="U58" s="564" t="s">
        <v>9</v>
      </c>
      <c r="V58" s="621">
        <f>COUNTIF(J58:S64, "M")</f>
        <v>5</v>
      </c>
      <c r="W58" s="674">
        <f>COUNTIF(J58:S64, "Z")</f>
        <v>2</v>
      </c>
      <c r="X58" s="470"/>
      <c r="Y58" s="134">
        <f t="shared" si="1"/>
        <v>7</v>
      </c>
      <c r="Z58" s="4"/>
    </row>
    <row r="59" spans="2:29" s="1" customFormat="1" ht="35.5" thickTop="1" thickBot="1" x14ac:dyDescent="0.3">
      <c r="B59" s="18"/>
      <c r="C59" s="40"/>
      <c r="D59" s="81"/>
      <c r="E59" s="300"/>
      <c r="F59" s="31"/>
      <c r="G59" s="48"/>
      <c r="H59" s="30"/>
      <c r="I59" s="60"/>
      <c r="J59" s="33"/>
      <c r="K59" s="78"/>
      <c r="L59" s="317" t="s">
        <v>245</v>
      </c>
      <c r="M59" s="706" t="s">
        <v>49</v>
      </c>
      <c r="N59" s="164"/>
      <c r="O59" s="167"/>
      <c r="P59" s="165"/>
      <c r="Q59" s="153"/>
      <c r="R59" s="398"/>
      <c r="S59" s="391"/>
      <c r="T59" s="547" t="s">
        <v>417</v>
      </c>
      <c r="U59" s="573" t="s">
        <v>53</v>
      </c>
      <c r="V59" s="619">
        <f>COUNTIF(L59:S61, "M")</f>
        <v>2</v>
      </c>
      <c r="W59" s="675">
        <f>COUNTIF(L59:S61, "Z")</f>
        <v>1</v>
      </c>
      <c r="X59" s="574"/>
      <c r="Y59" s="550">
        <f t="shared" si="1"/>
        <v>3</v>
      </c>
    </row>
    <row r="60" spans="2:29" s="1" customFormat="1" ht="24" thickTop="1" thickBot="1" x14ac:dyDescent="0.3">
      <c r="B60" s="18"/>
      <c r="C60" s="40"/>
      <c r="D60" s="81"/>
      <c r="E60" s="300"/>
      <c r="F60" s="31"/>
      <c r="G60" s="48"/>
      <c r="H60" s="30"/>
      <c r="I60" s="60"/>
      <c r="J60" s="33"/>
      <c r="K60" s="78"/>
      <c r="L60" s="328"/>
      <c r="M60" s="96"/>
      <c r="N60" s="67" t="s">
        <v>202</v>
      </c>
      <c r="O60" s="200" t="s">
        <v>50</v>
      </c>
      <c r="P60" s="162"/>
      <c r="Q60" s="163"/>
      <c r="R60" s="399"/>
      <c r="S60" s="388"/>
      <c r="T60" s="467" t="s">
        <v>119</v>
      </c>
      <c r="U60" s="468"/>
      <c r="V60" s="613"/>
      <c r="W60" s="676"/>
      <c r="X60" s="475"/>
      <c r="Y60" s="469"/>
    </row>
    <row r="61" spans="2:29" s="1" customFormat="1" ht="17" thickTop="1" thickBot="1" x14ac:dyDescent="0.3">
      <c r="B61" s="18"/>
      <c r="C61" s="40"/>
      <c r="D61" s="81"/>
      <c r="E61" s="300"/>
      <c r="F61" s="31"/>
      <c r="G61" s="48"/>
      <c r="H61" s="30"/>
      <c r="I61" s="60"/>
      <c r="J61" s="33"/>
      <c r="K61" s="78"/>
      <c r="L61" s="306"/>
      <c r="M61" s="304"/>
      <c r="N61" s="436" t="s">
        <v>100</v>
      </c>
      <c r="O61" s="437" t="s">
        <v>49</v>
      </c>
      <c r="P61" s="165"/>
      <c r="Q61" s="153"/>
      <c r="R61" s="396" t="s">
        <v>137</v>
      </c>
      <c r="S61" s="390"/>
      <c r="T61" s="569" t="s">
        <v>455</v>
      </c>
      <c r="U61" s="570" t="s">
        <v>9</v>
      </c>
      <c r="V61" s="617">
        <v>1</v>
      </c>
      <c r="W61" s="677">
        <v>0</v>
      </c>
      <c r="X61" s="575"/>
      <c r="Y61" s="572">
        <f t="shared" si="1"/>
        <v>1</v>
      </c>
      <c r="Z61" s="4"/>
      <c r="AA61" s="4"/>
    </row>
    <row r="62" spans="2:29" s="1" customFormat="1" ht="35.5" thickTop="1" thickBot="1" x14ac:dyDescent="0.3">
      <c r="B62" s="18"/>
      <c r="C62" s="40"/>
      <c r="D62" s="81"/>
      <c r="E62" s="300"/>
      <c r="F62" s="31"/>
      <c r="G62" s="48"/>
      <c r="H62" s="30"/>
      <c r="I62" s="60"/>
      <c r="J62" s="33"/>
      <c r="K62" s="78"/>
      <c r="L62" s="80" t="s">
        <v>246</v>
      </c>
      <c r="M62" s="710" t="s">
        <v>49</v>
      </c>
      <c r="N62" s="138"/>
      <c r="O62" s="352"/>
      <c r="P62" s="165"/>
      <c r="Q62" s="153"/>
      <c r="R62" s="400"/>
      <c r="S62" s="390"/>
      <c r="T62" s="103" t="s">
        <v>418</v>
      </c>
      <c r="U62" s="576" t="s">
        <v>159</v>
      </c>
      <c r="V62" s="618">
        <f>COUNTIF(L62:S64, "M")</f>
        <v>2</v>
      </c>
      <c r="W62" s="678">
        <f>COUNTIF(L62:S64, "Z")</f>
        <v>1</v>
      </c>
      <c r="X62" s="577"/>
      <c r="Y62" s="129">
        <f t="shared" si="1"/>
        <v>3</v>
      </c>
      <c r="Z62" s="4"/>
      <c r="AA62" s="4"/>
      <c r="AB62" s="4"/>
      <c r="AC62" s="4"/>
    </row>
    <row r="63" spans="2:29" s="1" customFormat="1" ht="27.5" thickTop="1" thickBot="1" x14ac:dyDescent="0.3">
      <c r="B63" s="18" t="s">
        <v>129</v>
      </c>
      <c r="C63" s="40"/>
      <c r="D63" s="81" t="s">
        <v>130</v>
      </c>
      <c r="E63" s="300"/>
      <c r="F63" s="31" t="s">
        <v>127</v>
      </c>
      <c r="G63" s="48"/>
      <c r="H63" s="30"/>
      <c r="I63" s="60"/>
      <c r="J63" s="65"/>
      <c r="K63" s="40"/>
      <c r="L63" s="83"/>
      <c r="M63" s="93"/>
      <c r="N63" s="67" t="s">
        <v>203</v>
      </c>
      <c r="O63" s="200" t="s">
        <v>50</v>
      </c>
      <c r="P63" s="162"/>
      <c r="Q63" s="163"/>
      <c r="R63" s="399"/>
      <c r="S63" s="388"/>
      <c r="T63" s="509"/>
      <c r="U63" s="510"/>
      <c r="V63" s="646"/>
      <c r="W63" s="679"/>
      <c r="X63" s="511"/>
      <c r="Y63" s="512"/>
    </row>
    <row r="64" spans="2:29" s="1" customFormat="1" ht="17" thickTop="1" thickBot="1" x14ac:dyDescent="0.3">
      <c r="B64" s="18"/>
      <c r="C64" s="40"/>
      <c r="D64" s="81"/>
      <c r="E64" s="300"/>
      <c r="F64" s="31"/>
      <c r="G64" s="48"/>
      <c r="H64" s="30"/>
      <c r="I64" s="60"/>
      <c r="J64" s="66"/>
      <c r="K64" s="41"/>
      <c r="L64" s="82"/>
      <c r="M64" s="230"/>
      <c r="N64" s="442" t="s">
        <v>247</v>
      </c>
      <c r="O64" s="437" t="s">
        <v>49</v>
      </c>
      <c r="P64" s="165"/>
      <c r="Q64" s="153"/>
      <c r="R64" s="396"/>
      <c r="S64" s="390"/>
      <c r="T64" s="569" t="s">
        <v>456</v>
      </c>
      <c r="U64" s="570" t="s">
        <v>248</v>
      </c>
      <c r="V64" s="617">
        <v>1</v>
      </c>
      <c r="W64" s="677">
        <v>0</v>
      </c>
      <c r="X64" s="575"/>
      <c r="Y64" s="572">
        <f t="shared" si="1"/>
        <v>1</v>
      </c>
      <c r="Z64" s="4"/>
      <c r="AA64" s="4"/>
    </row>
    <row r="65" spans="2:30" s="1" customFormat="1" ht="17" thickTop="1" thickBot="1" x14ac:dyDescent="0.3">
      <c r="B65" s="18"/>
      <c r="C65" s="40"/>
      <c r="D65" s="81"/>
      <c r="E65" s="300"/>
      <c r="F65" s="31"/>
      <c r="G65" s="48"/>
      <c r="H65" s="30"/>
      <c r="I65" s="60"/>
      <c r="J65" s="43" t="s">
        <v>10</v>
      </c>
      <c r="K65" s="265" t="s">
        <v>49</v>
      </c>
      <c r="L65" s="231"/>
      <c r="M65" s="232"/>
      <c r="N65" s="241"/>
      <c r="O65" s="242"/>
      <c r="P65" s="165"/>
      <c r="Q65" s="153"/>
      <c r="R65" s="400"/>
      <c r="S65" s="390"/>
      <c r="T65" s="106" t="s">
        <v>371</v>
      </c>
      <c r="U65" s="109" t="s">
        <v>10</v>
      </c>
      <c r="V65" s="624">
        <f>COUNTIF(J65:S69, "M")</f>
        <v>2</v>
      </c>
      <c r="W65" s="680">
        <f>COUNTIF(J65:S69, "Z")</f>
        <v>3</v>
      </c>
      <c r="X65" s="474"/>
      <c r="Y65" s="133">
        <f t="shared" si="1"/>
        <v>5</v>
      </c>
      <c r="Z65" s="4"/>
    </row>
    <row r="66" spans="2:30" s="1" customFormat="1" ht="17" thickTop="1" thickBot="1" x14ac:dyDescent="0.3">
      <c r="B66" s="18"/>
      <c r="C66" s="40"/>
      <c r="D66" s="81"/>
      <c r="E66" s="300"/>
      <c r="F66" s="31"/>
      <c r="G66" s="48"/>
      <c r="H66" s="30"/>
      <c r="I66" s="60"/>
      <c r="J66" s="43"/>
      <c r="K66" s="265"/>
      <c r="L66" s="351" t="s">
        <v>249</v>
      </c>
      <c r="M66" s="706" t="s">
        <v>49</v>
      </c>
      <c r="N66" s="154"/>
      <c r="O66" s="245"/>
      <c r="P66" s="165"/>
      <c r="Q66" s="153"/>
      <c r="R66" s="396"/>
      <c r="S66" s="390"/>
      <c r="T66" s="547" t="s">
        <v>419</v>
      </c>
      <c r="U66" s="573" t="s">
        <v>249</v>
      </c>
      <c r="V66" s="619">
        <f>COUNTIF(L66:S68, "M")</f>
        <v>1</v>
      </c>
      <c r="W66" s="675">
        <f>COUNTIF(L66:S68, "Z")</f>
        <v>2</v>
      </c>
      <c r="X66" s="574"/>
      <c r="Y66" s="550">
        <f t="shared" si="1"/>
        <v>3</v>
      </c>
      <c r="Z66" s="4"/>
      <c r="AA66" s="4"/>
      <c r="AB66" s="4"/>
    </row>
    <row r="67" spans="2:30" s="1" customFormat="1" ht="17" thickTop="1" thickBot="1" x14ac:dyDescent="0.3">
      <c r="B67" s="18"/>
      <c r="C67" s="40"/>
      <c r="D67" s="81"/>
      <c r="E67" s="300"/>
      <c r="F67" s="31"/>
      <c r="G67" s="48"/>
      <c r="H67" s="30"/>
      <c r="I67" s="60"/>
      <c r="J67" s="43"/>
      <c r="K67" s="266"/>
      <c r="L67" s="328"/>
      <c r="M67" s="96"/>
      <c r="N67" s="98" t="s">
        <v>81</v>
      </c>
      <c r="O67" s="200" t="s">
        <v>50</v>
      </c>
      <c r="P67" s="162"/>
      <c r="Q67" s="163"/>
      <c r="R67" s="399"/>
      <c r="S67" s="388"/>
      <c r="T67" s="491"/>
      <c r="U67" s="492"/>
      <c r="V67" s="615"/>
      <c r="W67" s="664"/>
      <c r="X67" s="493"/>
      <c r="Y67" s="494"/>
    </row>
    <row r="68" spans="2:30" s="1" customFormat="1" ht="17" thickTop="1" thickBot="1" x14ac:dyDescent="0.3">
      <c r="B68" s="18"/>
      <c r="C68" s="40"/>
      <c r="D68" s="81"/>
      <c r="E68" s="300"/>
      <c r="F68" s="31"/>
      <c r="G68" s="48"/>
      <c r="H68" s="30"/>
      <c r="I68" s="60"/>
      <c r="J68" s="267"/>
      <c r="K68" s="268"/>
      <c r="L68" s="448"/>
      <c r="M68" s="449"/>
      <c r="N68" s="98" t="s">
        <v>82</v>
      </c>
      <c r="O68" s="200" t="s">
        <v>50</v>
      </c>
      <c r="P68" s="162"/>
      <c r="Q68" s="163"/>
      <c r="R68" s="399"/>
      <c r="S68" s="388"/>
      <c r="T68" s="495"/>
      <c r="U68" s="496"/>
      <c r="V68" s="628"/>
      <c r="W68" s="665"/>
      <c r="X68" s="497"/>
      <c r="Y68" s="498"/>
    </row>
    <row r="69" spans="2:30" s="1" customFormat="1" ht="17" thickTop="1" thickBot="1" x14ac:dyDescent="0.3">
      <c r="B69" s="18"/>
      <c r="C69" s="40"/>
      <c r="D69" s="81"/>
      <c r="E69" s="300"/>
      <c r="F69" s="31"/>
      <c r="G69" s="48"/>
      <c r="H69" s="52"/>
      <c r="I69" s="60"/>
      <c r="J69" s="269"/>
      <c r="K69" s="270"/>
      <c r="L69" s="364" t="s">
        <v>506</v>
      </c>
      <c r="M69" s="200" t="s">
        <v>50</v>
      </c>
      <c r="N69" s="207"/>
      <c r="O69" s="208"/>
      <c r="P69" s="162"/>
      <c r="Q69" s="163"/>
      <c r="R69" s="399"/>
      <c r="S69" s="388"/>
      <c r="T69" s="513"/>
      <c r="U69" s="514"/>
      <c r="V69" s="616"/>
      <c r="W69" s="681"/>
      <c r="X69" s="515"/>
      <c r="Y69" s="516"/>
    </row>
    <row r="70" spans="2:30" s="1" customFormat="1" ht="17" thickTop="1" thickBot="1" x14ac:dyDescent="0.3">
      <c r="B70" s="18"/>
      <c r="C70" s="40"/>
      <c r="D70" s="81"/>
      <c r="E70" s="300"/>
      <c r="F70" s="31"/>
      <c r="G70" s="48"/>
      <c r="H70" s="298" t="s">
        <v>1</v>
      </c>
      <c r="I70" s="312" t="s">
        <v>49</v>
      </c>
      <c r="J70" s="138"/>
      <c r="K70" s="139"/>
      <c r="L70" s="184"/>
      <c r="M70" s="185"/>
      <c r="N70" s="165"/>
      <c r="O70" s="153"/>
      <c r="P70" s="165"/>
      <c r="Q70" s="153"/>
      <c r="R70" s="386"/>
      <c r="S70" s="390"/>
      <c r="T70" s="103" t="s">
        <v>345</v>
      </c>
      <c r="U70" s="104" t="s">
        <v>1</v>
      </c>
      <c r="V70" s="625">
        <f>COUNTIF(H70:S80, "M")</f>
        <v>8</v>
      </c>
      <c r="W70" s="654">
        <f>COUNTIF(H70:S80, "Z")</f>
        <v>3</v>
      </c>
      <c r="X70" s="105"/>
      <c r="Y70" s="129">
        <f t="shared" si="1"/>
        <v>11</v>
      </c>
      <c r="Z70" s="4"/>
    </row>
    <row r="71" spans="2:30" s="1" customFormat="1" ht="17" thickTop="1" thickBot="1" x14ac:dyDescent="0.3">
      <c r="B71" s="18"/>
      <c r="C71" s="40"/>
      <c r="D71" s="81"/>
      <c r="E71" s="300"/>
      <c r="F71" s="31"/>
      <c r="G71" s="48"/>
      <c r="H71" s="298"/>
      <c r="I71" s="300"/>
      <c r="J71" s="69" t="s">
        <v>250</v>
      </c>
      <c r="K71" s="200" t="s">
        <v>50</v>
      </c>
      <c r="L71" s="194"/>
      <c r="M71" s="175"/>
      <c r="N71" s="162"/>
      <c r="O71" s="163"/>
      <c r="P71" s="162"/>
      <c r="Q71" s="163"/>
      <c r="R71" s="387"/>
      <c r="S71" s="287"/>
      <c r="T71" s="467"/>
      <c r="U71" s="468"/>
      <c r="V71" s="613"/>
      <c r="W71" s="676"/>
      <c r="X71" s="475"/>
      <c r="Y71" s="469"/>
    </row>
    <row r="72" spans="2:30" s="1" customFormat="1" ht="24" thickTop="1" thickBot="1" x14ac:dyDescent="0.3">
      <c r="B72" s="18"/>
      <c r="C72" s="40"/>
      <c r="D72" s="81"/>
      <c r="E72" s="300"/>
      <c r="F72" s="31"/>
      <c r="G72" s="48"/>
      <c r="H72" s="298"/>
      <c r="I72" s="300"/>
      <c r="J72" s="275" t="s">
        <v>253</v>
      </c>
      <c r="K72" s="711" t="s">
        <v>49</v>
      </c>
      <c r="L72" s="212"/>
      <c r="M72" s="177"/>
      <c r="N72" s="165"/>
      <c r="O72" s="153"/>
      <c r="P72" s="165"/>
      <c r="Q72" s="153"/>
      <c r="R72" s="401"/>
      <c r="S72" s="395"/>
      <c r="T72" s="102" t="s">
        <v>372</v>
      </c>
      <c r="U72" s="111" t="s">
        <v>168</v>
      </c>
      <c r="V72" s="621">
        <f>COUNTIF(J72:S80, "M")</f>
        <v>7</v>
      </c>
      <c r="W72" s="674">
        <f>COUNTIF(J72:S80, "Z")</f>
        <v>2</v>
      </c>
      <c r="X72" s="470"/>
      <c r="Y72" s="134">
        <f t="shared" si="1"/>
        <v>9</v>
      </c>
      <c r="Z72" s="4"/>
      <c r="AA72" s="4"/>
    </row>
    <row r="73" spans="2:30" s="1" customFormat="1" ht="24" thickTop="1" thickBot="1" x14ac:dyDescent="0.3">
      <c r="B73" s="18"/>
      <c r="C73" s="40"/>
      <c r="D73" s="81"/>
      <c r="E73" s="300"/>
      <c r="F73" s="31"/>
      <c r="G73" s="48"/>
      <c r="H73" s="298"/>
      <c r="I73" s="300"/>
      <c r="J73" s="65"/>
      <c r="K73" s="110"/>
      <c r="L73" s="80" t="s">
        <v>254</v>
      </c>
      <c r="M73" s="710" t="s">
        <v>49</v>
      </c>
      <c r="N73" s="209"/>
      <c r="O73" s="210"/>
      <c r="P73" s="165"/>
      <c r="Q73" s="153"/>
      <c r="R73" s="393"/>
      <c r="S73" s="391"/>
      <c r="T73" s="103" t="s">
        <v>420</v>
      </c>
      <c r="U73" s="576" t="s">
        <v>251</v>
      </c>
      <c r="V73" s="618">
        <f>COUNTIF(L73:S76, "M")</f>
        <v>2</v>
      </c>
      <c r="W73" s="678">
        <f>COUNTIF(L73:S76, "Z")</f>
        <v>2</v>
      </c>
      <c r="X73" s="577"/>
      <c r="Y73" s="129">
        <f t="shared" si="1"/>
        <v>4</v>
      </c>
      <c r="Z73" s="4"/>
      <c r="AA73" s="4"/>
    </row>
    <row r="74" spans="2:30" s="1" customFormat="1" ht="17" thickTop="1" thickBot="1" x14ac:dyDescent="0.3">
      <c r="B74" s="18"/>
      <c r="C74" s="40"/>
      <c r="D74" s="81"/>
      <c r="E74" s="300"/>
      <c r="F74" s="31"/>
      <c r="G74" s="48"/>
      <c r="H74" s="298"/>
      <c r="I74" s="300"/>
      <c r="J74" s="65"/>
      <c r="K74" s="110"/>
      <c r="L74" s="32"/>
      <c r="M74" s="91"/>
      <c r="N74" s="447" t="s">
        <v>252</v>
      </c>
      <c r="O74" s="437" t="s">
        <v>49</v>
      </c>
      <c r="P74" s="165"/>
      <c r="Q74" s="153"/>
      <c r="R74" s="396"/>
      <c r="S74" s="390"/>
      <c r="T74" s="569" t="s">
        <v>457</v>
      </c>
      <c r="U74" s="570" t="s">
        <v>252</v>
      </c>
      <c r="V74" s="617">
        <v>1</v>
      </c>
      <c r="W74" s="677">
        <v>0</v>
      </c>
      <c r="X74" s="575"/>
      <c r="Y74" s="572">
        <f t="shared" si="1"/>
        <v>1</v>
      </c>
      <c r="Z74" s="4"/>
      <c r="AA74" s="4"/>
      <c r="AB74" s="4"/>
    </row>
    <row r="75" spans="2:30" s="1" customFormat="1" ht="17" thickTop="1" thickBot="1" x14ac:dyDescent="0.3">
      <c r="B75" s="18"/>
      <c r="C75" s="40"/>
      <c r="D75" s="81"/>
      <c r="E75" s="300"/>
      <c r="F75" s="31"/>
      <c r="G75" s="48"/>
      <c r="H75" s="298"/>
      <c r="I75" s="300"/>
      <c r="J75" s="65"/>
      <c r="K75" s="110"/>
      <c r="L75" s="85" t="s">
        <v>101</v>
      </c>
      <c r="M75" s="91"/>
      <c r="N75" s="67" t="s">
        <v>255</v>
      </c>
      <c r="O75" s="200" t="s">
        <v>50</v>
      </c>
      <c r="P75" s="162"/>
      <c r="Q75" s="163"/>
      <c r="R75" s="399"/>
      <c r="S75" s="388"/>
      <c r="T75" s="517"/>
      <c r="U75" s="518"/>
      <c r="V75" s="647"/>
      <c r="W75" s="682"/>
      <c r="X75" s="519"/>
      <c r="Y75" s="520"/>
    </row>
    <row r="76" spans="2:30" s="1" customFormat="1" ht="17" thickTop="1" thickBot="1" x14ac:dyDescent="0.3">
      <c r="B76" s="18"/>
      <c r="C76" s="40"/>
      <c r="D76" s="81"/>
      <c r="E76" s="300"/>
      <c r="F76" s="31"/>
      <c r="G76" s="48"/>
      <c r="H76" s="298"/>
      <c r="I76" s="300"/>
      <c r="J76" s="65"/>
      <c r="K76" s="260"/>
      <c r="L76" s="86"/>
      <c r="M76" s="230"/>
      <c r="N76" s="67" t="s">
        <v>55</v>
      </c>
      <c r="O76" s="200" t="s">
        <v>50</v>
      </c>
      <c r="P76" s="162"/>
      <c r="Q76" s="163"/>
      <c r="R76" s="399"/>
      <c r="S76" s="388"/>
      <c r="T76" s="521"/>
      <c r="U76" s="522"/>
      <c r="V76" s="648"/>
      <c r="W76" s="683"/>
      <c r="X76" s="523"/>
      <c r="Y76" s="524"/>
    </row>
    <row r="77" spans="2:30" s="1" customFormat="1" ht="24" thickTop="1" thickBot="1" x14ac:dyDescent="0.3">
      <c r="B77" s="18"/>
      <c r="C77" s="40"/>
      <c r="D77" s="81"/>
      <c r="E77" s="300"/>
      <c r="F77" s="43"/>
      <c r="G77" s="48"/>
      <c r="H77" s="298"/>
      <c r="I77" s="300"/>
      <c r="J77" s="65"/>
      <c r="K77" s="260"/>
      <c r="L77" s="334" t="s">
        <v>102</v>
      </c>
      <c r="M77" s="705" t="s">
        <v>49</v>
      </c>
      <c r="N77" s="182"/>
      <c r="O77" s="185"/>
      <c r="P77" s="165"/>
      <c r="Q77" s="153"/>
      <c r="R77" s="394"/>
      <c r="S77" s="397"/>
      <c r="T77" s="106" t="s">
        <v>421</v>
      </c>
      <c r="U77" s="109" t="s">
        <v>8</v>
      </c>
      <c r="V77" s="624">
        <f>COUNTIF(L77:S80, "M")</f>
        <v>4</v>
      </c>
      <c r="W77" s="680">
        <f>COUNTIF(L77:S80, "Z")</f>
        <v>0</v>
      </c>
      <c r="X77" s="474"/>
      <c r="Y77" s="133">
        <f t="shared" si="1"/>
        <v>4</v>
      </c>
      <c r="Z77" s="4"/>
      <c r="AA77" s="4"/>
      <c r="AB77" s="4"/>
      <c r="AC77" s="4"/>
    </row>
    <row r="78" spans="2:30" s="1" customFormat="1" ht="24" thickTop="1" thickBot="1" x14ac:dyDescent="0.3">
      <c r="B78" s="18"/>
      <c r="C78" s="40"/>
      <c r="D78" s="81"/>
      <c r="E78" s="300"/>
      <c r="F78" s="31"/>
      <c r="G78" s="48"/>
      <c r="H78" s="298"/>
      <c r="I78" s="300"/>
      <c r="J78" s="65"/>
      <c r="K78" s="260"/>
      <c r="L78" s="348"/>
      <c r="M78" s="263"/>
      <c r="N78" s="50" t="s">
        <v>256</v>
      </c>
      <c r="O78" s="704" t="s">
        <v>49</v>
      </c>
      <c r="P78" s="164"/>
      <c r="Q78" s="167"/>
      <c r="R78" s="402"/>
      <c r="S78" s="391"/>
      <c r="T78" s="547" t="s">
        <v>458</v>
      </c>
      <c r="U78" s="573" t="s">
        <v>151</v>
      </c>
      <c r="V78" s="619">
        <f>COUNTIF(N78:S79, "M")</f>
        <v>2</v>
      </c>
      <c r="W78" s="675">
        <f>COUNTIF(N78:S79, "Z")</f>
        <v>0</v>
      </c>
      <c r="X78" s="574"/>
      <c r="Y78" s="550">
        <f t="shared" si="1"/>
        <v>2</v>
      </c>
      <c r="Z78" s="4"/>
      <c r="AA78" s="4"/>
      <c r="AB78" s="4"/>
    </row>
    <row r="79" spans="2:30" s="1" customFormat="1" ht="27" thickBot="1" x14ac:dyDescent="0.3">
      <c r="B79" s="18" t="s">
        <v>129</v>
      </c>
      <c r="C79" s="40"/>
      <c r="D79" s="81" t="s">
        <v>130</v>
      </c>
      <c r="E79" s="300"/>
      <c r="F79" s="31" t="s">
        <v>127</v>
      </c>
      <c r="G79" s="48"/>
      <c r="H79" s="298"/>
      <c r="I79" s="299"/>
      <c r="J79" s="65"/>
      <c r="K79" s="110"/>
      <c r="L79" s="262"/>
      <c r="M79" s="263"/>
      <c r="N79" s="328"/>
      <c r="O79" s="96"/>
      <c r="P79" s="466" t="s">
        <v>103</v>
      </c>
      <c r="Q79" s="465" t="s">
        <v>49</v>
      </c>
      <c r="R79" s="403"/>
      <c r="S79" s="397"/>
      <c r="T79" s="103" t="s">
        <v>482</v>
      </c>
      <c r="U79" s="576" t="s">
        <v>169</v>
      </c>
      <c r="V79" s="618">
        <v>1</v>
      </c>
      <c r="W79" s="678">
        <v>0</v>
      </c>
      <c r="X79" s="577"/>
      <c r="Y79" s="129">
        <f t="shared" si="1"/>
        <v>1</v>
      </c>
      <c r="Z79" s="4"/>
      <c r="AA79" s="4"/>
      <c r="AB79" s="4"/>
      <c r="AC79" s="4"/>
    </row>
    <row r="80" spans="2:30" s="1" customFormat="1" ht="16.5" thickBot="1" x14ac:dyDescent="0.3">
      <c r="B80" s="18"/>
      <c r="C80" s="40"/>
      <c r="D80" s="81"/>
      <c r="E80" s="300"/>
      <c r="F80" s="31"/>
      <c r="G80" s="48"/>
      <c r="H80" s="301"/>
      <c r="I80" s="300"/>
      <c r="J80" s="261"/>
      <c r="K80" s="297"/>
      <c r="L80" s="349"/>
      <c r="M80" s="350"/>
      <c r="N80" s="442" t="s">
        <v>257</v>
      </c>
      <c r="O80" s="437" t="s">
        <v>49</v>
      </c>
      <c r="P80" s="241"/>
      <c r="Q80" s="216"/>
      <c r="R80" s="392"/>
      <c r="S80" s="395"/>
      <c r="T80" s="578" t="s">
        <v>459</v>
      </c>
      <c r="U80" s="579" t="s">
        <v>249</v>
      </c>
      <c r="V80" s="649">
        <v>1</v>
      </c>
      <c r="W80" s="684">
        <v>0</v>
      </c>
      <c r="X80" s="580"/>
      <c r="Y80" s="581">
        <f t="shared" si="1"/>
        <v>1</v>
      </c>
      <c r="Z80" s="4"/>
      <c r="AA80" s="4"/>
      <c r="AB80" s="4"/>
      <c r="AC80" s="4"/>
      <c r="AD80" s="4"/>
    </row>
    <row r="81" spans="2:28" s="1" customFormat="1" ht="50.5" customHeight="1" thickTop="1" thickBot="1" x14ac:dyDescent="0.3">
      <c r="B81" s="18"/>
      <c r="C81" s="40"/>
      <c r="D81" s="81"/>
      <c r="E81" s="300"/>
      <c r="F81" s="31"/>
      <c r="G81" s="48"/>
      <c r="H81" s="30" t="s">
        <v>492</v>
      </c>
      <c r="I81" s="704" t="s">
        <v>518</v>
      </c>
      <c r="J81" s="138"/>
      <c r="K81" s="139"/>
      <c r="L81" s="234"/>
      <c r="M81" s="235"/>
      <c r="N81" s="241"/>
      <c r="O81" s="242"/>
      <c r="P81" s="152"/>
      <c r="Q81" s="153"/>
      <c r="R81" s="385"/>
      <c r="S81" s="391"/>
      <c r="T81" s="547" t="s">
        <v>346</v>
      </c>
      <c r="U81" s="548" t="s">
        <v>163</v>
      </c>
      <c r="V81" s="622">
        <f>COUNTIF(H81:S100, "M")</f>
        <v>15</v>
      </c>
      <c r="W81" s="656">
        <f>COUNTIF(H81:S100, "Z")</f>
        <v>4</v>
      </c>
      <c r="X81" s="549"/>
      <c r="Y81" s="550">
        <f t="shared" si="1"/>
        <v>19</v>
      </c>
      <c r="Z81" s="4"/>
    </row>
    <row r="82" spans="2:28" s="1" customFormat="1" ht="17" thickTop="1" thickBot="1" x14ac:dyDescent="0.3">
      <c r="B82" s="18"/>
      <c r="C82" s="40"/>
      <c r="D82" s="81"/>
      <c r="E82" s="300"/>
      <c r="F82" s="31"/>
      <c r="G82" s="48"/>
      <c r="H82" s="30"/>
      <c r="I82" s="59"/>
      <c r="J82" s="438" t="s">
        <v>90</v>
      </c>
      <c r="K82" s="437" t="s">
        <v>49</v>
      </c>
      <c r="L82" s="188"/>
      <c r="M82" s="189"/>
      <c r="N82" s="165"/>
      <c r="O82" s="153"/>
      <c r="P82" s="165"/>
      <c r="Q82" s="153"/>
      <c r="R82" s="396"/>
      <c r="S82" s="390"/>
      <c r="T82" s="569" t="s">
        <v>373</v>
      </c>
      <c r="U82" s="570" t="s">
        <v>164</v>
      </c>
      <c r="V82" s="617">
        <v>1</v>
      </c>
      <c r="W82" s="677">
        <v>0</v>
      </c>
      <c r="X82" s="575"/>
      <c r="Y82" s="572">
        <f t="shared" si="1"/>
        <v>1</v>
      </c>
      <c r="Z82" s="4"/>
      <c r="AA82" s="4"/>
    </row>
    <row r="83" spans="2:28" s="1" customFormat="1" ht="17" thickTop="1" thickBot="1" x14ac:dyDescent="0.3">
      <c r="B83" s="18"/>
      <c r="C83" s="40"/>
      <c r="D83" s="81"/>
      <c r="E83" s="300"/>
      <c r="F83" s="31"/>
      <c r="G83" s="48"/>
      <c r="H83" s="30"/>
      <c r="I83" s="61"/>
      <c r="J83" s="436" t="s">
        <v>91</v>
      </c>
      <c r="K83" s="437" t="s">
        <v>49</v>
      </c>
      <c r="L83" s="188"/>
      <c r="M83" s="189"/>
      <c r="N83" s="165"/>
      <c r="O83" s="153"/>
      <c r="P83" s="165"/>
      <c r="Q83" s="153"/>
      <c r="R83" s="396"/>
      <c r="S83" s="390"/>
      <c r="T83" s="569" t="s">
        <v>374</v>
      </c>
      <c r="U83" s="570" t="s">
        <v>12</v>
      </c>
      <c r="V83" s="617">
        <v>1</v>
      </c>
      <c r="W83" s="677">
        <v>0</v>
      </c>
      <c r="X83" s="575"/>
      <c r="Y83" s="572">
        <f t="shared" si="1"/>
        <v>1</v>
      </c>
      <c r="Z83" s="4"/>
      <c r="AA83" s="4"/>
    </row>
    <row r="84" spans="2:28" s="1" customFormat="1" ht="24" thickTop="1" thickBot="1" x14ac:dyDescent="0.3">
      <c r="B84" s="18"/>
      <c r="C84" s="40"/>
      <c r="D84" s="81"/>
      <c r="E84" s="300"/>
      <c r="F84" s="31"/>
      <c r="G84" s="48"/>
      <c r="H84" s="30"/>
      <c r="I84" s="61"/>
      <c r="J84" s="43" t="s">
        <v>258</v>
      </c>
      <c r="K84" s="265" t="s">
        <v>49</v>
      </c>
      <c r="L84" s="176"/>
      <c r="M84" s="236"/>
      <c r="N84" s="165"/>
      <c r="O84" s="153"/>
      <c r="P84" s="165"/>
      <c r="Q84" s="153"/>
      <c r="R84" s="404"/>
      <c r="S84" s="390"/>
      <c r="T84" s="106" t="s">
        <v>375</v>
      </c>
      <c r="U84" s="109" t="s">
        <v>165</v>
      </c>
      <c r="V84" s="624">
        <f>COUNTIF(J84:S89, "M")</f>
        <v>4</v>
      </c>
      <c r="W84" s="680">
        <f>COUNTIF(J84:S89, "Z")</f>
        <v>2</v>
      </c>
      <c r="X84" s="474"/>
      <c r="Y84" s="133">
        <f t="shared" ref="Y84:Y147" si="2">V84+W84+X84</f>
        <v>6</v>
      </c>
      <c r="Z84" s="4"/>
      <c r="AA84" s="4"/>
    </row>
    <row r="85" spans="2:28" s="1" customFormat="1" ht="24" thickTop="1" thickBot="1" x14ac:dyDescent="0.3">
      <c r="B85" s="18"/>
      <c r="C85" s="40"/>
      <c r="D85" s="81"/>
      <c r="E85" s="300"/>
      <c r="F85" s="31"/>
      <c r="G85" s="48"/>
      <c r="H85" s="30"/>
      <c r="I85" s="61"/>
      <c r="J85" s="43"/>
      <c r="K85" s="265"/>
      <c r="L85" s="67" t="s">
        <v>191</v>
      </c>
      <c r="M85" s="200" t="s">
        <v>50</v>
      </c>
      <c r="N85" s="162"/>
      <c r="O85" s="163"/>
      <c r="P85" s="162"/>
      <c r="Q85" s="163"/>
      <c r="R85" s="387"/>
      <c r="S85" s="388"/>
      <c r="T85" s="467"/>
      <c r="U85" s="468"/>
      <c r="V85" s="613"/>
      <c r="W85" s="676"/>
      <c r="X85" s="475"/>
      <c r="Y85" s="469"/>
    </row>
    <row r="86" spans="2:28" s="1" customFormat="1" ht="24" thickTop="1" thickBot="1" x14ac:dyDescent="0.3">
      <c r="B86" s="18"/>
      <c r="C86" s="40"/>
      <c r="D86" s="81"/>
      <c r="E86" s="300"/>
      <c r="F86" s="31"/>
      <c r="G86" s="48"/>
      <c r="H86" s="30"/>
      <c r="I86" s="61"/>
      <c r="J86" s="43"/>
      <c r="K86" s="265"/>
      <c r="L86" s="303" t="s">
        <v>138</v>
      </c>
      <c r="M86" s="702" t="s">
        <v>49</v>
      </c>
      <c r="N86" s="353"/>
      <c r="O86" s="210"/>
      <c r="P86" s="165"/>
      <c r="Q86" s="153"/>
      <c r="R86" s="405"/>
      <c r="S86" s="390"/>
      <c r="T86" s="547" t="s">
        <v>422</v>
      </c>
      <c r="U86" s="573" t="s">
        <v>52</v>
      </c>
      <c r="V86" s="619">
        <f>COUNTIF(L86:S89, "M")</f>
        <v>3</v>
      </c>
      <c r="W86" s="675">
        <f>COUNTIF(L86:S89, "Z")</f>
        <v>1</v>
      </c>
      <c r="X86" s="574"/>
      <c r="Y86" s="550">
        <f t="shared" si="2"/>
        <v>4</v>
      </c>
      <c r="Z86" s="4"/>
      <c r="AA86" s="4"/>
      <c r="AB86" s="4"/>
    </row>
    <row r="87" spans="2:28" s="1" customFormat="1" ht="17" thickTop="1" thickBot="1" x14ac:dyDescent="0.3">
      <c r="B87" s="18"/>
      <c r="C87" s="40"/>
      <c r="D87" s="81"/>
      <c r="E87" s="300"/>
      <c r="F87" s="31"/>
      <c r="G87" s="48"/>
      <c r="H87" s="30"/>
      <c r="I87" s="61"/>
      <c r="J87" s="43"/>
      <c r="K87" s="265"/>
      <c r="L87" s="303"/>
      <c r="M87" s="304"/>
      <c r="N87" s="67" t="s">
        <v>56</v>
      </c>
      <c r="O87" s="200" t="s">
        <v>50</v>
      </c>
      <c r="P87" s="162"/>
      <c r="Q87" s="163"/>
      <c r="R87" s="387"/>
      <c r="S87" s="287"/>
      <c r="T87" s="467"/>
      <c r="U87" s="468"/>
      <c r="V87" s="613"/>
      <c r="W87" s="676"/>
      <c r="X87" s="475"/>
      <c r="Y87" s="469"/>
    </row>
    <row r="88" spans="2:28" s="1" customFormat="1" ht="17" thickTop="1" thickBot="1" x14ac:dyDescent="0.3">
      <c r="B88" s="18"/>
      <c r="C88" s="40"/>
      <c r="D88" s="81"/>
      <c r="E88" s="300"/>
      <c r="F88" s="31"/>
      <c r="G88" s="48"/>
      <c r="H88" s="30"/>
      <c r="I88" s="61"/>
      <c r="J88" s="43"/>
      <c r="K88" s="265"/>
      <c r="L88" s="303"/>
      <c r="M88" s="304"/>
      <c r="N88" s="436" t="s">
        <v>25</v>
      </c>
      <c r="O88" s="437" t="s">
        <v>49</v>
      </c>
      <c r="P88" s="165"/>
      <c r="Q88" s="153"/>
      <c r="R88" s="393"/>
      <c r="S88" s="391"/>
      <c r="T88" s="569" t="s">
        <v>460</v>
      </c>
      <c r="U88" s="570" t="s">
        <v>25</v>
      </c>
      <c r="V88" s="617">
        <v>1</v>
      </c>
      <c r="W88" s="677">
        <v>0</v>
      </c>
      <c r="X88" s="575"/>
      <c r="Y88" s="572">
        <f t="shared" si="2"/>
        <v>1</v>
      </c>
      <c r="Z88" s="4"/>
      <c r="AA88" s="4"/>
    </row>
    <row r="89" spans="2:28" s="1" customFormat="1" ht="17" thickTop="1" thickBot="1" x14ac:dyDescent="0.3">
      <c r="B89" s="18"/>
      <c r="C89" s="40"/>
      <c r="D89" s="81"/>
      <c r="E89" s="300"/>
      <c r="F89" s="31"/>
      <c r="G89" s="48"/>
      <c r="H89" s="30"/>
      <c r="I89" s="61"/>
      <c r="J89" s="269"/>
      <c r="K89" s="271"/>
      <c r="L89" s="346"/>
      <c r="M89" s="347"/>
      <c r="N89" s="443" t="s">
        <v>57</v>
      </c>
      <c r="O89" s="437" t="s">
        <v>49</v>
      </c>
      <c r="P89" s="165"/>
      <c r="Q89" s="153"/>
      <c r="R89" s="396"/>
      <c r="S89" s="390"/>
      <c r="T89" s="569" t="s">
        <v>461</v>
      </c>
      <c r="U89" s="570" t="s">
        <v>57</v>
      </c>
      <c r="V89" s="617">
        <v>1</v>
      </c>
      <c r="W89" s="677">
        <v>0</v>
      </c>
      <c r="X89" s="575"/>
      <c r="Y89" s="572">
        <f t="shared" si="2"/>
        <v>1</v>
      </c>
      <c r="Z89" s="4"/>
      <c r="AA89" s="4"/>
    </row>
    <row r="90" spans="2:28" s="1" customFormat="1" ht="24" thickTop="1" thickBot="1" x14ac:dyDescent="0.3">
      <c r="B90" s="18"/>
      <c r="C90" s="40"/>
      <c r="D90" s="81"/>
      <c r="E90" s="300"/>
      <c r="F90" s="31"/>
      <c r="G90" s="48"/>
      <c r="H90" s="30"/>
      <c r="I90" s="61"/>
      <c r="J90" s="27" t="s">
        <v>135</v>
      </c>
      <c r="K90" s="712" t="s">
        <v>49</v>
      </c>
      <c r="L90" s="238"/>
      <c r="M90" s="239"/>
      <c r="N90" s="150" t="s">
        <v>486</v>
      </c>
      <c r="O90" s="354"/>
      <c r="P90" s="165"/>
      <c r="Q90" s="153"/>
      <c r="R90" s="400"/>
      <c r="S90" s="390"/>
      <c r="T90" s="102" t="s">
        <v>376</v>
      </c>
      <c r="U90" s="111" t="s">
        <v>166</v>
      </c>
      <c r="V90" s="621">
        <f>COUNTIF(J90:S95, "M")</f>
        <v>5</v>
      </c>
      <c r="W90" s="674">
        <f>COUNTIF(J90:S95, "Z")</f>
        <v>1</v>
      </c>
      <c r="X90" s="470"/>
      <c r="Y90" s="134">
        <f t="shared" si="2"/>
        <v>6</v>
      </c>
    </row>
    <row r="91" spans="2:28" s="1" customFormat="1" ht="17" thickTop="1" thickBot="1" x14ac:dyDescent="0.3">
      <c r="B91" s="18"/>
      <c r="C91" s="40"/>
      <c r="D91" s="81"/>
      <c r="E91" s="300"/>
      <c r="F91" s="31"/>
      <c r="G91" s="48"/>
      <c r="H91" s="30"/>
      <c r="I91" s="61"/>
      <c r="J91" s="27"/>
      <c r="K91" s="76"/>
      <c r="L91" s="334" t="s">
        <v>259</v>
      </c>
      <c r="M91" s="343" t="s">
        <v>49</v>
      </c>
      <c r="N91" s="154"/>
      <c r="O91" s="245"/>
      <c r="P91" s="165"/>
      <c r="Q91" s="153"/>
      <c r="R91" s="400"/>
      <c r="S91" s="390"/>
      <c r="T91" s="106" t="s">
        <v>423</v>
      </c>
      <c r="U91" s="109" t="s">
        <v>259</v>
      </c>
      <c r="V91" s="624">
        <f>COUNTIF(L91:S93, "M")</f>
        <v>2</v>
      </c>
      <c r="W91" s="680">
        <f>COUNTIF(L91:S93, "Z")</f>
        <v>1</v>
      </c>
      <c r="X91" s="474"/>
      <c r="Y91" s="133">
        <f t="shared" si="2"/>
        <v>3</v>
      </c>
    </row>
    <row r="92" spans="2:28" s="1" customFormat="1" ht="17" thickTop="1" thickBot="1" x14ac:dyDescent="0.3">
      <c r="B92" s="18"/>
      <c r="C92" s="40"/>
      <c r="D92" s="81"/>
      <c r="E92" s="300"/>
      <c r="F92" s="31"/>
      <c r="G92" s="48"/>
      <c r="H92" s="30"/>
      <c r="I92" s="59"/>
      <c r="J92" s="27"/>
      <c r="K92" s="76"/>
      <c r="L92" s="267"/>
      <c r="M92" s="268"/>
      <c r="N92" s="67" t="s">
        <v>58</v>
      </c>
      <c r="O92" s="200" t="s">
        <v>50</v>
      </c>
      <c r="P92" s="162"/>
      <c r="Q92" s="163"/>
      <c r="R92" s="399"/>
      <c r="S92" s="388"/>
      <c r="T92" s="467"/>
      <c r="U92" s="468"/>
      <c r="V92" s="613"/>
      <c r="W92" s="676"/>
      <c r="X92" s="475"/>
      <c r="Y92" s="525"/>
    </row>
    <row r="93" spans="2:28" s="1" customFormat="1" ht="17" thickTop="1" thickBot="1" x14ac:dyDescent="0.3">
      <c r="B93" s="18"/>
      <c r="C93" s="40"/>
      <c r="D93" s="81"/>
      <c r="E93" s="300"/>
      <c r="F93" s="31"/>
      <c r="G93" s="48"/>
      <c r="H93" s="30"/>
      <c r="I93" s="61"/>
      <c r="J93" s="27"/>
      <c r="K93" s="76"/>
      <c r="L93" s="264"/>
      <c r="M93" s="263"/>
      <c r="N93" s="56" t="s">
        <v>59</v>
      </c>
      <c r="O93" s="169" t="s">
        <v>49</v>
      </c>
      <c r="P93" s="165"/>
      <c r="Q93" s="153"/>
      <c r="R93" s="396"/>
      <c r="S93" s="390"/>
      <c r="T93" s="547" t="s">
        <v>462</v>
      </c>
      <c r="U93" s="573" t="s">
        <v>59</v>
      </c>
      <c r="V93" s="619">
        <v>1</v>
      </c>
      <c r="W93" s="675">
        <v>0</v>
      </c>
      <c r="X93" s="574"/>
      <c r="Y93" s="550">
        <f t="shared" si="2"/>
        <v>1</v>
      </c>
    </row>
    <row r="94" spans="2:28" s="1" customFormat="1" ht="17" thickTop="1" thickBot="1" x14ac:dyDescent="0.3">
      <c r="B94" s="18"/>
      <c r="C94" s="40"/>
      <c r="D94" s="81"/>
      <c r="E94" s="300"/>
      <c r="F94" s="31"/>
      <c r="G94" s="48"/>
      <c r="H94" s="30"/>
      <c r="I94" s="61"/>
      <c r="J94" s="27"/>
      <c r="K94" s="76"/>
      <c r="L94" s="87" t="s">
        <v>60</v>
      </c>
      <c r="M94" s="237" t="s">
        <v>49</v>
      </c>
      <c r="N94" s="138"/>
      <c r="O94" s="352"/>
      <c r="P94" s="165"/>
      <c r="Q94" s="153"/>
      <c r="R94" s="400"/>
      <c r="S94" s="189"/>
      <c r="T94" s="103" t="s">
        <v>424</v>
      </c>
      <c r="U94" s="576" t="s">
        <v>60</v>
      </c>
      <c r="V94" s="618">
        <f>COUNTIF(L94:S95, "M")</f>
        <v>2</v>
      </c>
      <c r="W94" s="678">
        <f>COUNTIF(L94:S95, "Z")</f>
        <v>0</v>
      </c>
      <c r="X94" s="577"/>
      <c r="Y94" s="129">
        <f t="shared" si="2"/>
        <v>2</v>
      </c>
    </row>
    <row r="95" spans="2:28" s="1" customFormat="1" ht="47" thickTop="1" thickBot="1" x14ac:dyDescent="0.3">
      <c r="B95" s="18" t="s">
        <v>129</v>
      </c>
      <c r="C95" s="40"/>
      <c r="D95" s="81" t="s">
        <v>130</v>
      </c>
      <c r="E95" s="300"/>
      <c r="F95" s="31" t="s">
        <v>127</v>
      </c>
      <c r="G95" s="48"/>
      <c r="H95" s="30" t="s">
        <v>492</v>
      </c>
      <c r="I95" s="61"/>
      <c r="J95" s="66"/>
      <c r="K95" s="201"/>
      <c r="L95" s="88"/>
      <c r="M95" s="240"/>
      <c r="N95" s="442" t="s">
        <v>61</v>
      </c>
      <c r="O95" s="437" t="s">
        <v>49</v>
      </c>
      <c r="P95" s="165"/>
      <c r="Q95" s="153"/>
      <c r="R95" s="396"/>
      <c r="S95" s="390"/>
      <c r="T95" s="569" t="s">
        <v>463</v>
      </c>
      <c r="U95" s="570" t="s">
        <v>61</v>
      </c>
      <c r="V95" s="617">
        <v>1</v>
      </c>
      <c r="W95" s="677">
        <v>0</v>
      </c>
      <c r="X95" s="575"/>
      <c r="Y95" s="572">
        <f t="shared" si="2"/>
        <v>1</v>
      </c>
    </row>
    <row r="96" spans="2:28" s="1" customFormat="1" ht="24" thickTop="1" thickBot="1" x14ac:dyDescent="0.3">
      <c r="B96" s="18"/>
      <c r="C96" s="40"/>
      <c r="D96" s="81"/>
      <c r="E96" s="300"/>
      <c r="F96" s="31"/>
      <c r="G96" s="48"/>
      <c r="H96" s="51"/>
      <c r="I96" s="61"/>
      <c r="J96" s="272" t="s">
        <v>260</v>
      </c>
      <c r="K96" s="705" t="s">
        <v>49</v>
      </c>
      <c r="L96" s="198"/>
      <c r="M96" s="199"/>
      <c r="N96" s="241"/>
      <c r="O96" s="242"/>
      <c r="P96" s="165"/>
      <c r="Q96" s="153"/>
      <c r="R96" s="400"/>
      <c r="S96" s="189"/>
      <c r="T96" s="106" t="s">
        <v>377</v>
      </c>
      <c r="U96" s="109" t="s">
        <v>143</v>
      </c>
      <c r="V96" s="624">
        <f>COUNTIF(J96:S97, "M")</f>
        <v>2</v>
      </c>
      <c r="W96" s="680">
        <f>COUNTIF(J96:S97, "Z")</f>
        <v>0</v>
      </c>
      <c r="X96" s="474"/>
      <c r="Y96" s="133">
        <f t="shared" si="2"/>
        <v>2</v>
      </c>
      <c r="Z96" s="4"/>
      <c r="AA96" s="4"/>
    </row>
    <row r="97" spans="2:30" s="1" customFormat="1" ht="17" thickTop="1" thickBot="1" x14ac:dyDescent="0.3">
      <c r="B97" s="18"/>
      <c r="C97" s="40"/>
      <c r="D97" s="81"/>
      <c r="E97" s="300"/>
      <c r="F97" s="31"/>
      <c r="G97" s="48"/>
      <c r="H97" s="30"/>
      <c r="I97" s="61"/>
      <c r="J97" s="273"/>
      <c r="K97" s="274"/>
      <c r="L97" s="442" t="s">
        <v>104</v>
      </c>
      <c r="M97" s="437" t="s">
        <v>49</v>
      </c>
      <c r="N97" s="165"/>
      <c r="O97" s="153"/>
      <c r="P97" s="165"/>
      <c r="Q97" s="153"/>
      <c r="R97" s="396"/>
      <c r="S97" s="390"/>
      <c r="T97" s="578" t="s">
        <v>425</v>
      </c>
      <c r="U97" s="579" t="s">
        <v>140</v>
      </c>
      <c r="V97" s="649">
        <v>1</v>
      </c>
      <c r="W97" s="684">
        <v>0</v>
      </c>
      <c r="X97" s="580"/>
      <c r="Y97" s="581">
        <f t="shared" si="2"/>
        <v>1</v>
      </c>
      <c r="Z97" s="4"/>
      <c r="AA97" s="4"/>
      <c r="AB97" s="4"/>
      <c r="AC97" s="4"/>
    </row>
    <row r="98" spans="2:30" s="1" customFormat="1" ht="24" thickTop="1" thickBot="1" x14ac:dyDescent="0.3">
      <c r="B98" s="18"/>
      <c r="C98" s="40"/>
      <c r="D98" s="81"/>
      <c r="E98" s="300"/>
      <c r="F98" s="31"/>
      <c r="G98" s="48"/>
      <c r="H98" s="30"/>
      <c r="I98" s="61"/>
      <c r="J98" s="64" t="s">
        <v>500</v>
      </c>
      <c r="K98" s="712" t="s">
        <v>49</v>
      </c>
      <c r="L98" s="138"/>
      <c r="M98" s="229"/>
      <c r="N98" s="165"/>
      <c r="O98" s="153"/>
      <c r="P98" s="165"/>
      <c r="Q98" s="153"/>
      <c r="R98" s="400"/>
      <c r="S98" s="189"/>
      <c r="T98" s="102" t="s">
        <v>378</v>
      </c>
      <c r="U98" s="111" t="s">
        <v>261</v>
      </c>
      <c r="V98" s="621">
        <f>COUNTIF(J98:S100, "M")</f>
        <v>2</v>
      </c>
      <c r="W98" s="674">
        <f>COUNTIF(J98:S100, "Z")</f>
        <v>1</v>
      </c>
      <c r="X98" s="470"/>
      <c r="Y98" s="134">
        <f t="shared" si="2"/>
        <v>3</v>
      </c>
      <c r="Z98" s="4"/>
    </row>
    <row r="99" spans="2:30" s="1" customFormat="1" ht="24" thickTop="1" thickBot="1" x14ac:dyDescent="0.3">
      <c r="B99" s="18"/>
      <c r="C99" s="40"/>
      <c r="D99" s="81"/>
      <c r="E99" s="300"/>
      <c r="F99" s="31"/>
      <c r="G99" s="48"/>
      <c r="H99" s="30"/>
      <c r="I99" s="61"/>
      <c r="J99" s="29"/>
      <c r="K99" s="79"/>
      <c r="L99" s="67" t="s">
        <v>192</v>
      </c>
      <c r="M99" s="200" t="s">
        <v>50</v>
      </c>
      <c r="N99" s="162"/>
      <c r="O99" s="163"/>
      <c r="P99" s="162"/>
      <c r="Q99" s="163"/>
      <c r="R99" s="399"/>
      <c r="S99" s="388"/>
      <c r="T99" s="467"/>
      <c r="U99" s="468"/>
      <c r="V99" s="613"/>
      <c r="W99" s="676"/>
      <c r="X99" s="475"/>
      <c r="Y99" s="469"/>
    </row>
    <row r="100" spans="2:30" s="1" customFormat="1" ht="17" thickTop="1" thickBot="1" x14ac:dyDescent="0.3">
      <c r="B100" s="18"/>
      <c r="C100" s="40"/>
      <c r="D100" s="81"/>
      <c r="E100" s="300"/>
      <c r="F100" s="44"/>
      <c r="G100" s="48"/>
      <c r="H100" s="52"/>
      <c r="I100" s="179"/>
      <c r="J100" s="202"/>
      <c r="K100" s="201"/>
      <c r="L100" s="442" t="s">
        <v>105</v>
      </c>
      <c r="M100" s="437" t="s">
        <v>49</v>
      </c>
      <c r="N100" s="165"/>
      <c r="O100" s="153"/>
      <c r="P100" s="165"/>
      <c r="Q100" s="153"/>
      <c r="R100" s="396"/>
      <c r="S100" s="390"/>
      <c r="T100" s="569" t="s">
        <v>426</v>
      </c>
      <c r="U100" s="570" t="s">
        <v>167</v>
      </c>
      <c r="V100" s="617">
        <v>1</v>
      </c>
      <c r="W100" s="677">
        <v>0</v>
      </c>
      <c r="X100" s="575"/>
      <c r="Y100" s="572">
        <f t="shared" si="2"/>
        <v>1</v>
      </c>
      <c r="Z100" s="4"/>
    </row>
    <row r="101" spans="2:30" s="1" customFormat="1" ht="24" thickTop="1" thickBot="1" x14ac:dyDescent="0.3">
      <c r="B101" s="18"/>
      <c r="C101" s="40"/>
      <c r="D101" s="81"/>
      <c r="E101" s="300"/>
      <c r="F101" s="294" t="s">
        <v>132</v>
      </c>
      <c r="G101" s="707" t="s">
        <v>49</v>
      </c>
      <c r="H101" s="180"/>
      <c r="I101" s="181"/>
      <c r="J101" s="203"/>
      <c r="K101" s="204"/>
      <c r="L101" s="241"/>
      <c r="M101" s="242"/>
      <c r="N101" s="165"/>
      <c r="O101" s="153"/>
      <c r="P101" s="165"/>
      <c r="Q101" s="153"/>
      <c r="R101" s="400"/>
      <c r="S101" s="390"/>
      <c r="T101" s="102" t="s">
        <v>333</v>
      </c>
      <c r="U101" s="564" t="s">
        <v>13</v>
      </c>
      <c r="V101" s="612">
        <f>COUNTIF(F101:S124, "M")</f>
        <v>10</v>
      </c>
      <c r="W101" s="668">
        <f>COUNTIF(F101:S124, "Z")</f>
        <v>14</v>
      </c>
      <c r="X101" s="112"/>
      <c r="Y101" s="134">
        <f t="shared" si="2"/>
        <v>24</v>
      </c>
      <c r="Z101" s="4"/>
    </row>
    <row r="102" spans="2:30" s="1" customFormat="1" ht="50.5" customHeight="1" thickTop="1" thickBot="1" x14ac:dyDescent="0.3">
      <c r="B102" s="18"/>
      <c r="C102" s="40"/>
      <c r="D102" s="81"/>
      <c r="E102" s="300"/>
      <c r="F102" s="294"/>
      <c r="G102" s="260"/>
      <c r="H102" s="53" t="s">
        <v>493</v>
      </c>
      <c r="I102" s="713" t="s">
        <v>49</v>
      </c>
      <c r="J102" s="205"/>
      <c r="K102" s="206"/>
      <c r="L102" s="152"/>
      <c r="M102" s="243"/>
      <c r="N102" s="165"/>
      <c r="O102" s="153"/>
      <c r="P102" s="165"/>
      <c r="Q102" s="153"/>
      <c r="R102" s="400"/>
      <c r="S102" s="390"/>
      <c r="T102" s="543" t="s">
        <v>347</v>
      </c>
      <c r="U102" s="544" t="s">
        <v>262</v>
      </c>
      <c r="V102" s="650">
        <f>COUNTIF(H102:S121,"M")</f>
        <v>9</v>
      </c>
      <c r="W102" s="685">
        <f>COUNTIF(H102:S121,"Z")</f>
        <v>11</v>
      </c>
      <c r="X102" s="545"/>
      <c r="Y102" s="546">
        <f t="shared" si="2"/>
        <v>20</v>
      </c>
      <c r="Z102" s="4"/>
    </row>
    <row r="103" spans="2:30" s="1" customFormat="1" ht="35.5" thickTop="1" thickBot="1" x14ac:dyDescent="0.3">
      <c r="B103" s="18"/>
      <c r="C103" s="40"/>
      <c r="D103" s="81"/>
      <c r="E103" s="300"/>
      <c r="F103" s="294"/>
      <c r="G103" s="260"/>
      <c r="H103" s="54"/>
      <c r="I103" s="62"/>
      <c r="J103" s="452" t="s">
        <v>263</v>
      </c>
      <c r="K103" s="706" t="s">
        <v>49</v>
      </c>
      <c r="L103" s="244"/>
      <c r="M103" s="245"/>
      <c r="N103" s="165"/>
      <c r="O103" s="153"/>
      <c r="P103" s="165"/>
      <c r="Q103" s="153"/>
      <c r="R103" s="400"/>
      <c r="S103" s="390"/>
      <c r="T103" s="547" t="s">
        <v>379</v>
      </c>
      <c r="U103" s="573" t="s">
        <v>153</v>
      </c>
      <c r="V103" s="619">
        <f>COUNTIF(J103:S108, "M")</f>
        <v>4</v>
      </c>
      <c r="W103" s="675">
        <f>COUNTIF(J103:S108, "Z")</f>
        <v>2</v>
      </c>
      <c r="X103" s="574"/>
      <c r="Y103" s="550">
        <f t="shared" si="2"/>
        <v>6</v>
      </c>
      <c r="Z103" s="4"/>
    </row>
    <row r="104" spans="2:30" s="1" customFormat="1" ht="35.5" thickTop="1" thickBot="1" x14ac:dyDescent="0.3">
      <c r="B104" s="18"/>
      <c r="C104" s="40"/>
      <c r="D104" s="81"/>
      <c r="E104" s="300"/>
      <c r="F104" s="294"/>
      <c r="G104" s="260"/>
      <c r="H104" s="54"/>
      <c r="I104" s="62"/>
      <c r="J104" s="51"/>
      <c r="K104" s="324"/>
      <c r="L104" s="329" t="s">
        <v>264</v>
      </c>
      <c r="M104" s="707" t="s">
        <v>49</v>
      </c>
      <c r="N104" s="355"/>
      <c r="O104" s="167"/>
      <c r="P104" s="165"/>
      <c r="Q104" s="153"/>
      <c r="R104" s="394"/>
      <c r="S104" s="397"/>
      <c r="T104" s="102" t="s">
        <v>427</v>
      </c>
      <c r="U104" s="111" t="s">
        <v>158</v>
      </c>
      <c r="V104" s="621">
        <f>COUNTIF(L104:S107, "M")</f>
        <v>3</v>
      </c>
      <c r="W104" s="674">
        <f>COUNTIF(L104:S107, "Z")</f>
        <v>1</v>
      </c>
      <c r="X104" s="470"/>
      <c r="Y104" s="134">
        <f t="shared" si="2"/>
        <v>4</v>
      </c>
      <c r="Z104" s="4"/>
      <c r="AA104" s="4"/>
      <c r="AB104" s="4"/>
    </row>
    <row r="105" spans="2:30" s="1" customFormat="1" ht="35" thickTop="1" x14ac:dyDescent="0.25">
      <c r="B105" s="18"/>
      <c r="C105" s="40"/>
      <c r="D105" s="81"/>
      <c r="E105" s="300"/>
      <c r="F105" s="294"/>
      <c r="G105" s="110"/>
      <c r="H105" s="54"/>
      <c r="I105" s="63"/>
      <c r="J105" s="51"/>
      <c r="K105" s="324"/>
      <c r="L105" s="29"/>
      <c r="M105" s="79"/>
      <c r="N105" s="42" t="s">
        <v>507</v>
      </c>
      <c r="O105" s="703" t="s">
        <v>49</v>
      </c>
      <c r="P105" s="353"/>
      <c r="Q105" s="373"/>
      <c r="R105" s="398"/>
      <c r="S105" s="391"/>
      <c r="T105" s="106" t="s">
        <v>464</v>
      </c>
      <c r="U105" s="109" t="s">
        <v>62</v>
      </c>
      <c r="V105" s="624">
        <f>COUNTIF(N105:S106,"M")</f>
        <v>1</v>
      </c>
      <c r="W105" s="680">
        <f>COUNTIF(N105:S106,"Z")</f>
        <v>1</v>
      </c>
      <c r="X105" s="474"/>
      <c r="Y105" s="133">
        <f t="shared" si="2"/>
        <v>2</v>
      </c>
      <c r="Z105" s="4"/>
      <c r="AA105" s="4"/>
    </row>
    <row r="106" spans="2:30" s="1" customFormat="1" ht="23" x14ac:dyDescent="0.25">
      <c r="B106" s="18"/>
      <c r="C106" s="40"/>
      <c r="D106" s="81"/>
      <c r="E106" s="300"/>
      <c r="F106" s="294"/>
      <c r="G106" s="110"/>
      <c r="H106" s="54"/>
      <c r="I106" s="63"/>
      <c r="J106" s="51"/>
      <c r="K106" s="324"/>
      <c r="L106" s="29"/>
      <c r="M106" s="79"/>
      <c r="N106" s="44"/>
      <c r="O106" s="47"/>
      <c r="P106" s="370" t="s">
        <v>213</v>
      </c>
      <c r="Q106" s="200" t="s">
        <v>50</v>
      </c>
      <c r="R106" s="406"/>
      <c r="S106" s="388"/>
      <c r="T106" s="467"/>
      <c r="U106" s="526"/>
      <c r="V106" s="613"/>
      <c r="W106" s="676"/>
      <c r="X106" s="475"/>
      <c r="Y106" s="469"/>
    </row>
    <row r="107" spans="2:30" s="1" customFormat="1" ht="16.5" thickBot="1" x14ac:dyDescent="0.3">
      <c r="B107" s="18"/>
      <c r="C107" s="40"/>
      <c r="D107" s="81"/>
      <c r="E107" s="300"/>
      <c r="F107" s="294"/>
      <c r="G107" s="110"/>
      <c r="H107" s="54"/>
      <c r="I107" s="63"/>
      <c r="J107" s="51"/>
      <c r="K107" s="324"/>
      <c r="L107" s="450"/>
      <c r="M107" s="451"/>
      <c r="N107" s="446" t="s">
        <v>508</v>
      </c>
      <c r="O107" s="437" t="s">
        <v>49</v>
      </c>
      <c r="P107" s="374"/>
      <c r="Q107" s="375"/>
      <c r="R107" s="406"/>
      <c r="S107" s="390"/>
      <c r="T107" s="569" t="s">
        <v>465</v>
      </c>
      <c r="U107" s="570" t="s">
        <v>159</v>
      </c>
      <c r="V107" s="617">
        <v>1</v>
      </c>
      <c r="W107" s="677">
        <v>0</v>
      </c>
      <c r="X107" s="575"/>
      <c r="Y107" s="572">
        <f t="shared" si="2"/>
        <v>1</v>
      </c>
      <c r="Z107" s="4"/>
      <c r="AA107" s="4"/>
    </row>
    <row r="108" spans="2:30" s="1" customFormat="1" ht="27.5" thickTop="1" thickBot="1" x14ac:dyDescent="0.3">
      <c r="B108" s="18" t="s">
        <v>129</v>
      </c>
      <c r="C108" s="40"/>
      <c r="D108" s="81" t="s">
        <v>130</v>
      </c>
      <c r="E108" s="300"/>
      <c r="F108" s="294"/>
      <c r="G108" s="110"/>
      <c r="H108" s="54"/>
      <c r="I108" s="63"/>
      <c r="J108" s="337"/>
      <c r="K108" s="325"/>
      <c r="L108" s="364" t="s">
        <v>265</v>
      </c>
      <c r="M108" s="200" t="s">
        <v>50</v>
      </c>
      <c r="N108" s="228"/>
      <c r="O108" s="289"/>
      <c r="P108" s="165"/>
      <c r="Q108" s="153"/>
      <c r="R108" s="396"/>
      <c r="S108" s="388"/>
      <c r="T108" s="467"/>
      <c r="U108" s="527"/>
      <c r="V108" s="613"/>
      <c r="W108" s="676"/>
      <c r="X108" s="475"/>
      <c r="Y108" s="469"/>
    </row>
    <row r="109" spans="2:30" s="1" customFormat="1" ht="24" thickTop="1" thickBot="1" x14ac:dyDescent="0.3">
      <c r="B109" s="18"/>
      <c r="C109" s="40"/>
      <c r="D109" s="81"/>
      <c r="E109" s="300"/>
      <c r="F109" s="294"/>
      <c r="G109" s="110"/>
      <c r="H109" s="54"/>
      <c r="I109" s="63"/>
      <c r="J109" s="43" t="s">
        <v>266</v>
      </c>
      <c r="K109" s="705" t="s">
        <v>49</v>
      </c>
      <c r="L109" s="217"/>
      <c r="M109" s="218"/>
      <c r="N109" s="165"/>
      <c r="O109" s="153"/>
      <c r="P109" s="165"/>
      <c r="Q109" s="153"/>
      <c r="R109" s="400"/>
      <c r="S109" s="390"/>
      <c r="T109" s="106" t="s">
        <v>380</v>
      </c>
      <c r="U109" s="109" t="s">
        <v>156</v>
      </c>
      <c r="V109" s="624">
        <f>COUNTIF(J109:S113, "M")</f>
        <v>2</v>
      </c>
      <c r="W109" s="680">
        <f>COUNTIF(J109:S113, "Z")</f>
        <v>3</v>
      </c>
      <c r="X109" s="474"/>
      <c r="Y109" s="133">
        <f t="shared" si="2"/>
        <v>5</v>
      </c>
      <c r="Z109" s="4"/>
      <c r="AA109" s="4"/>
      <c r="AB109" s="4"/>
      <c r="AC109" s="4"/>
      <c r="AD109" s="4"/>
    </row>
    <row r="110" spans="2:30" s="1" customFormat="1" ht="17" thickTop="1" thickBot="1" x14ac:dyDescent="0.3">
      <c r="B110" s="18"/>
      <c r="C110" s="40"/>
      <c r="D110" s="81"/>
      <c r="E110" s="300"/>
      <c r="F110" s="294"/>
      <c r="G110" s="110"/>
      <c r="H110" s="54"/>
      <c r="I110" s="63"/>
      <c r="J110" s="43"/>
      <c r="K110" s="266"/>
      <c r="L110" s="67" t="s">
        <v>267</v>
      </c>
      <c r="M110" s="200" t="s">
        <v>50</v>
      </c>
      <c r="N110" s="162"/>
      <c r="O110" s="163"/>
      <c r="P110" s="162"/>
      <c r="Q110" s="163"/>
      <c r="R110" s="399"/>
      <c r="S110" s="388"/>
      <c r="T110" s="467"/>
      <c r="U110" s="468"/>
      <c r="V110" s="613"/>
      <c r="W110" s="676"/>
      <c r="X110" s="475"/>
      <c r="Y110" s="469"/>
    </row>
    <row r="111" spans="2:30" s="1" customFormat="1" ht="35.5" thickTop="1" thickBot="1" x14ac:dyDescent="0.3">
      <c r="B111" s="18"/>
      <c r="C111" s="40"/>
      <c r="D111" s="81"/>
      <c r="E111" s="300"/>
      <c r="F111" s="294" t="s">
        <v>132</v>
      </c>
      <c r="G111" s="110"/>
      <c r="H111" s="697" t="s">
        <v>493</v>
      </c>
      <c r="I111" s="63"/>
      <c r="J111" s="43"/>
      <c r="K111" s="266"/>
      <c r="L111" s="329" t="s">
        <v>193</v>
      </c>
      <c r="M111" s="711" t="s">
        <v>49</v>
      </c>
      <c r="N111" s="164"/>
      <c r="O111" s="167"/>
      <c r="P111" s="165"/>
      <c r="Q111" s="153"/>
      <c r="R111" s="400"/>
      <c r="S111" s="390"/>
      <c r="T111" s="102" t="s">
        <v>428</v>
      </c>
      <c r="U111" s="111" t="s">
        <v>53</v>
      </c>
      <c r="V111" s="621">
        <f>COUNTIF(L111:S113, "M")</f>
        <v>1</v>
      </c>
      <c r="W111" s="674">
        <f>COUNTIF(L111:S113, "Z")</f>
        <v>2</v>
      </c>
      <c r="X111" s="470"/>
      <c r="Y111" s="134">
        <f t="shared" si="2"/>
        <v>3</v>
      </c>
      <c r="Z111" s="4"/>
      <c r="AA111" s="4"/>
    </row>
    <row r="112" spans="2:30" s="1" customFormat="1" ht="24" thickTop="1" thickBot="1" x14ac:dyDescent="0.3">
      <c r="B112" s="18"/>
      <c r="C112" s="40"/>
      <c r="D112" s="81"/>
      <c r="E112" s="300"/>
      <c r="F112" s="294"/>
      <c r="G112" s="110"/>
      <c r="H112" s="54"/>
      <c r="I112" s="63"/>
      <c r="J112" s="43"/>
      <c r="K112" s="266"/>
      <c r="L112" s="29"/>
      <c r="M112" s="79"/>
      <c r="N112" s="67" t="s">
        <v>204</v>
      </c>
      <c r="O112" s="200" t="s">
        <v>50</v>
      </c>
      <c r="P112" s="162"/>
      <c r="Q112" s="163"/>
      <c r="R112" s="399"/>
      <c r="S112" s="388"/>
      <c r="T112" s="491"/>
      <c r="U112" s="492"/>
      <c r="V112" s="615"/>
      <c r="W112" s="664"/>
      <c r="X112" s="493"/>
      <c r="Y112" s="494"/>
    </row>
    <row r="113" spans="2:27" s="1" customFormat="1" ht="24" thickTop="1" thickBot="1" x14ac:dyDescent="0.3">
      <c r="B113" s="18"/>
      <c r="C113" s="40"/>
      <c r="D113" s="81"/>
      <c r="E113" s="300"/>
      <c r="F113" s="294"/>
      <c r="G113" s="110"/>
      <c r="H113" s="54"/>
      <c r="I113" s="63"/>
      <c r="J113" s="269"/>
      <c r="K113" s="271"/>
      <c r="L113" s="323"/>
      <c r="M113" s="331"/>
      <c r="N113" s="67" t="s">
        <v>205</v>
      </c>
      <c r="O113" s="200" t="s">
        <v>50</v>
      </c>
      <c r="P113" s="162"/>
      <c r="Q113" s="163"/>
      <c r="R113" s="399"/>
      <c r="S113" s="388"/>
      <c r="T113" s="513"/>
      <c r="U113" s="514"/>
      <c r="V113" s="616"/>
      <c r="W113" s="681"/>
      <c r="X113" s="515"/>
      <c r="Y113" s="516"/>
    </row>
    <row r="114" spans="2:27" s="1" customFormat="1" ht="24" thickTop="1" thickBot="1" x14ac:dyDescent="0.3">
      <c r="B114" s="18"/>
      <c r="C114" s="40"/>
      <c r="D114" s="81"/>
      <c r="E114" s="300"/>
      <c r="F114" s="294"/>
      <c r="G114" s="110"/>
      <c r="H114" s="54"/>
      <c r="I114" s="63"/>
      <c r="J114" s="51" t="s">
        <v>136</v>
      </c>
      <c r="K114" s="702" t="s">
        <v>49</v>
      </c>
      <c r="L114" s="217"/>
      <c r="M114" s="218"/>
      <c r="N114" s="215"/>
      <c r="O114" s="216"/>
      <c r="P114" s="165"/>
      <c r="Q114" s="153"/>
      <c r="R114" s="400"/>
      <c r="S114" s="390"/>
      <c r="T114" s="547" t="s">
        <v>381</v>
      </c>
      <c r="U114" s="573" t="s">
        <v>157</v>
      </c>
      <c r="V114" s="619">
        <f>COUNTIF(J114:S119, "M")</f>
        <v>2</v>
      </c>
      <c r="W114" s="675">
        <f>COUNTIF(J114:S119, "Z")</f>
        <v>4</v>
      </c>
      <c r="X114" s="574"/>
      <c r="Y114" s="550">
        <f t="shared" si="2"/>
        <v>6</v>
      </c>
      <c r="Z114" s="4"/>
      <c r="AA114" s="4"/>
    </row>
    <row r="115" spans="2:27" s="1" customFormat="1" ht="17" thickTop="1" thickBot="1" x14ac:dyDescent="0.3">
      <c r="B115" s="18"/>
      <c r="C115" s="40"/>
      <c r="D115" s="81"/>
      <c r="E115" s="300"/>
      <c r="F115" s="294"/>
      <c r="G115" s="110"/>
      <c r="H115" s="54"/>
      <c r="I115" s="63"/>
      <c r="J115" s="51"/>
      <c r="K115" s="324"/>
      <c r="L115" s="67" t="s">
        <v>63</v>
      </c>
      <c r="M115" s="200" t="s">
        <v>50</v>
      </c>
      <c r="N115" s="162"/>
      <c r="O115" s="163"/>
      <c r="P115" s="162"/>
      <c r="Q115" s="163"/>
      <c r="R115" s="399"/>
      <c r="S115" s="388"/>
      <c r="T115" s="491"/>
      <c r="U115" s="492"/>
      <c r="V115" s="615"/>
      <c r="W115" s="664"/>
      <c r="X115" s="493"/>
      <c r="Y115" s="494"/>
    </row>
    <row r="116" spans="2:27" s="1" customFormat="1" ht="17" thickTop="1" thickBot="1" x14ac:dyDescent="0.3">
      <c r="B116" s="18"/>
      <c r="C116" s="40"/>
      <c r="D116" s="81"/>
      <c r="E116" s="300"/>
      <c r="F116" s="294"/>
      <c r="G116" s="110"/>
      <c r="H116" s="54"/>
      <c r="I116" s="63"/>
      <c r="J116" s="51"/>
      <c r="K116" s="324"/>
      <c r="L116" s="67" t="s">
        <v>64</v>
      </c>
      <c r="M116" s="200" t="s">
        <v>50</v>
      </c>
      <c r="N116" s="162"/>
      <c r="O116" s="163"/>
      <c r="P116" s="162"/>
      <c r="Q116" s="163"/>
      <c r="R116" s="399"/>
      <c r="S116" s="388"/>
      <c r="T116" s="513"/>
      <c r="U116" s="514"/>
      <c r="V116" s="616"/>
      <c r="W116" s="681"/>
      <c r="X116" s="515"/>
      <c r="Y116" s="516"/>
    </row>
    <row r="117" spans="2:27" s="1" customFormat="1" ht="24" thickTop="1" thickBot="1" x14ac:dyDescent="0.3">
      <c r="B117" s="18"/>
      <c r="C117" s="40"/>
      <c r="D117" s="81"/>
      <c r="E117" s="300"/>
      <c r="F117" s="294"/>
      <c r="G117" s="110"/>
      <c r="H117" s="54"/>
      <c r="I117" s="63"/>
      <c r="J117" s="51"/>
      <c r="K117" s="324"/>
      <c r="L117" s="313" t="s">
        <v>106</v>
      </c>
      <c r="M117" s="714" t="s">
        <v>49</v>
      </c>
      <c r="N117" s="164"/>
      <c r="O117" s="167"/>
      <c r="P117" s="165"/>
      <c r="Q117" s="153"/>
      <c r="R117" s="400"/>
      <c r="S117" s="390"/>
      <c r="T117" s="103" t="s">
        <v>429</v>
      </c>
      <c r="U117" s="576" t="s">
        <v>160</v>
      </c>
      <c r="V117" s="618">
        <f>COUNTIF(L117:S119, "M")</f>
        <v>1</v>
      </c>
      <c r="W117" s="678">
        <f>COUNTIF(L117:S119, "Z")</f>
        <v>2</v>
      </c>
      <c r="X117" s="577"/>
      <c r="Y117" s="129">
        <f t="shared" si="2"/>
        <v>3</v>
      </c>
      <c r="Z117" s="4"/>
      <c r="AA117" s="4"/>
    </row>
    <row r="118" spans="2:27" s="1" customFormat="1" ht="17" thickTop="1" thickBot="1" x14ac:dyDescent="0.3">
      <c r="B118" s="18"/>
      <c r="C118" s="40"/>
      <c r="D118" s="81"/>
      <c r="E118" s="300"/>
      <c r="F118" s="294"/>
      <c r="G118" s="110"/>
      <c r="H118" s="54"/>
      <c r="I118" s="63"/>
      <c r="J118" s="51"/>
      <c r="K118" s="324"/>
      <c r="L118" s="83"/>
      <c r="M118" s="93"/>
      <c r="N118" s="67" t="s">
        <v>65</v>
      </c>
      <c r="O118" s="200" t="s">
        <v>50</v>
      </c>
      <c r="P118" s="162"/>
      <c r="Q118" s="163"/>
      <c r="R118" s="407"/>
      <c r="S118" s="388"/>
      <c r="T118" s="491"/>
      <c r="U118" s="492"/>
      <c r="V118" s="615"/>
      <c r="W118" s="664"/>
      <c r="X118" s="493"/>
      <c r="Y118" s="494"/>
    </row>
    <row r="119" spans="2:27" s="1" customFormat="1" ht="17" thickTop="1" thickBot="1" x14ac:dyDescent="0.3">
      <c r="B119" s="18"/>
      <c r="C119" s="40"/>
      <c r="D119" s="81"/>
      <c r="E119" s="300"/>
      <c r="F119" s="294"/>
      <c r="G119" s="110"/>
      <c r="H119" s="54"/>
      <c r="I119" s="63"/>
      <c r="J119" s="337"/>
      <c r="K119" s="324"/>
      <c r="L119" s="332"/>
      <c r="M119" s="333"/>
      <c r="N119" s="67" t="s">
        <v>47</v>
      </c>
      <c r="O119" s="200" t="s">
        <v>50</v>
      </c>
      <c r="P119" s="162"/>
      <c r="Q119" s="163"/>
      <c r="R119" s="387"/>
      <c r="S119" s="388"/>
      <c r="T119" s="495"/>
      <c r="U119" s="496"/>
      <c r="V119" s="628"/>
      <c r="W119" s="665"/>
      <c r="X119" s="497"/>
      <c r="Y119" s="498"/>
    </row>
    <row r="120" spans="2:27" s="1" customFormat="1" ht="17" thickTop="1" thickBot="1" x14ac:dyDescent="0.3">
      <c r="B120" s="18"/>
      <c r="C120" s="40"/>
      <c r="D120" s="81"/>
      <c r="E120" s="300"/>
      <c r="F120" s="294"/>
      <c r="G120" s="110"/>
      <c r="H120" s="697"/>
      <c r="I120" s="63"/>
      <c r="J120" s="67" t="s">
        <v>15</v>
      </c>
      <c r="K120" s="200" t="s">
        <v>50</v>
      </c>
      <c r="L120" s="207"/>
      <c r="M120" s="208"/>
      <c r="N120" s="207"/>
      <c r="O120" s="208"/>
      <c r="P120" s="162"/>
      <c r="Q120" s="163"/>
      <c r="R120" s="387"/>
      <c r="S120" s="388"/>
      <c r="T120" s="495"/>
      <c r="U120" s="496"/>
      <c r="V120" s="628"/>
      <c r="W120" s="665"/>
      <c r="X120" s="497"/>
      <c r="Y120" s="498"/>
    </row>
    <row r="121" spans="2:27" s="1" customFormat="1" ht="27.5" thickTop="1" thickBot="1" x14ac:dyDescent="0.3">
      <c r="B121" s="18" t="s">
        <v>129</v>
      </c>
      <c r="C121" s="40"/>
      <c r="D121" s="81" t="s">
        <v>130</v>
      </c>
      <c r="E121" s="300"/>
      <c r="F121" s="294"/>
      <c r="G121" s="110"/>
      <c r="H121" s="696"/>
      <c r="I121" s="63"/>
      <c r="J121" s="67" t="s">
        <v>16</v>
      </c>
      <c r="K121" s="200" t="s">
        <v>50</v>
      </c>
      <c r="L121" s="162"/>
      <c r="M121" s="163"/>
      <c r="N121" s="162"/>
      <c r="O121" s="163"/>
      <c r="P121" s="162"/>
      <c r="Q121" s="163"/>
      <c r="R121" s="387"/>
      <c r="S121" s="388"/>
      <c r="T121" s="495"/>
      <c r="U121" s="496"/>
      <c r="V121" s="628"/>
      <c r="W121" s="665"/>
      <c r="X121" s="497"/>
      <c r="Y121" s="498"/>
    </row>
    <row r="122" spans="2:27" s="1" customFormat="1" ht="17" thickTop="1" thickBot="1" x14ac:dyDescent="0.3">
      <c r="B122" s="18"/>
      <c r="C122" s="40"/>
      <c r="D122" s="81"/>
      <c r="E122" s="300"/>
      <c r="F122" s="294"/>
      <c r="G122" s="110"/>
      <c r="H122" s="67" t="s">
        <v>16</v>
      </c>
      <c r="I122" s="200" t="s">
        <v>50</v>
      </c>
      <c r="J122" s="207"/>
      <c r="K122" s="208"/>
      <c r="L122" s="162"/>
      <c r="M122" s="163"/>
      <c r="N122" s="162"/>
      <c r="O122" s="163"/>
      <c r="P122" s="162"/>
      <c r="Q122" s="163"/>
      <c r="R122" s="387"/>
      <c r="S122" s="388"/>
      <c r="T122" s="495"/>
      <c r="U122" s="496"/>
      <c r="V122" s="628"/>
      <c r="W122" s="665"/>
      <c r="X122" s="497"/>
      <c r="Y122" s="498"/>
    </row>
    <row r="123" spans="2:27" s="1" customFormat="1" ht="17" thickTop="1" thickBot="1" x14ac:dyDescent="0.3">
      <c r="B123" s="18"/>
      <c r="C123" s="40"/>
      <c r="D123" s="81"/>
      <c r="E123" s="300"/>
      <c r="F123" s="295"/>
      <c r="G123" s="110"/>
      <c r="H123" s="459" t="s">
        <v>14</v>
      </c>
      <c r="I123" s="367" t="s">
        <v>50</v>
      </c>
      <c r="J123" s="162"/>
      <c r="K123" s="163"/>
      <c r="L123" s="162"/>
      <c r="M123" s="163"/>
      <c r="N123" s="162"/>
      <c r="O123" s="163"/>
      <c r="P123" s="162"/>
      <c r="Q123" s="163"/>
      <c r="R123" s="387"/>
      <c r="S123" s="388"/>
      <c r="T123" s="495"/>
      <c r="U123" s="496"/>
      <c r="V123" s="628"/>
      <c r="W123" s="665"/>
      <c r="X123" s="497"/>
      <c r="Y123" s="498"/>
    </row>
    <row r="124" spans="2:27" s="1" customFormat="1" ht="17" thickTop="1" thickBot="1" x14ac:dyDescent="0.3">
      <c r="B124" s="18"/>
      <c r="C124" s="40"/>
      <c r="D124" s="81"/>
      <c r="E124" s="300"/>
      <c r="F124" s="296" t="s">
        <v>20</v>
      </c>
      <c r="G124" s="297"/>
      <c r="H124" s="460" t="s">
        <v>83</v>
      </c>
      <c r="I124" s="461" t="s">
        <v>50</v>
      </c>
      <c r="J124" s="162"/>
      <c r="K124" s="163"/>
      <c r="L124" s="162"/>
      <c r="M124" s="163"/>
      <c r="N124" s="162"/>
      <c r="O124" s="163"/>
      <c r="P124" s="162"/>
      <c r="Q124" s="163"/>
      <c r="R124" s="387"/>
      <c r="S124" s="287"/>
      <c r="T124" s="513"/>
      <c r="U124" s="514"/>
      <c r="V124" s="616"/>
      <c r="W124" s="681"/>
      <c r="X124" s="515"/>
      <c r="Y124" s="516"/>
    </row>
    <row r="125" spans="2:27" s="1" customFormat="1" ht="17" thickTop="1" thickBot="1" x14ac:dyDescent="0.3">
      <c r="B125" s="18"/>
      <c r="C125" s="40"/>
      <c r="D125" s="81"/>
      <c r="E125" s="300"/>
      <c r="F125" s="43" t="s">
        <v>17</v>
      </c>
      <c r="G125" s="265" t="s">
        <v>49</v>
      </c>
      <c r="H125" s="182"/>
      <c r="I125" s="183"/>
      <c r="J125" s="165"/>
      <c r="K125" s="153"/>
      <c r="L125" s="165"/>
      <c r="M125" s="153"/>
      <c r="N125" s="165"/>
      <c r="O125" s="153"/>
      <c r="P125" s="165"/>
      <c r="Q125" s="153"/>
      <c r="R125" s="401"/>
      <c r="S125" s="395"/>
      <c r="T125" s="106" t="s">
        <v>334</v>
      </c>
      <c r="U125" s="107" t="s">
        <v>17</v>
      </c>
      <c r="V125" s="614">
        <f>COUNTIF(F125:S136, "M")</f>
        <v>7</v>
      </c>
      <c r="W125" s="655">
        <f>COUNTIF(F125:S136, "Z")</f>
        <v>5</v>
      </c>
      <c r="X125" s="108"/>
      <c r="Y125" s="133">
        <f t="shared" si="2"/>
        <v>12</v>
      </c>
      <c r="Z125" s="4"/>
    </row>
    <row r="126" spans="2:27" s="1" customFormat="1" ht="17" thickTop="1" thickBot="1" x14ac:dyDescent="0.3">
      <c r="B126" s="18"/>
      <c r="C126" s="40"/>
      <c r="D126" s="81"/>
      <c r="E126" s="300"/>
      <c r="F126" s="43"/>
      <c r="G126" s="266"/>
      <c r="H126" s="50" t="s">
        <v>18</v>
      </c>
      <c r="I126" s="137" t="s">
        <v>49</v>
      </c>
      <c r="J126" s="209"/>
      <c r="K126" s="210"/>
      <c r="L126" s="246"/>
      <c r="M126" s="247"/>
      <c r="N126" s="246"/>
      <c r="O126" s="247"/>
      <c r="P126" s="165"/>
      <c r="Q126" s="153"/>
      <c r="R126" s="401"/>
      <c r="S126" s="395"/>
      <c r="T126" s="547" t="s">
        <v>348</v>
      </c>
      <c r="U126" s="548" t="s">
        <v>18</v>
      </c>
      <c r="V126" s="622">
        <f>COUNTIF(H126:S133, "M")</f>
        <v>6</v>
      </c>
      <c r="W126" s="656">
        <f>COUNTIF(H126:S133, "Z")</f>
        <v>2</v>
      </c>
      <c r="X126" s="549"/>
      <c r="Y126" s="550">
        <f t="shared" si="2"/>
        <v>8</v>
      </c>
      <c r="Z126" s="4"/>
      <c r="AA126" s="4"/>
    </row>
    <row r="127" spans="2:27" s="1" customFormat="1" ht="24" thickTop="1" thickBot="1" x14ac:dyDescent="0.3">
      <c r="B127" s="38"/>
      <c r="C127" s="40"/>
      <c r="D127" s="81"/>
      <c r="E127" s="300"/>
      <c r="F127" s="433"/>
      <c r="G127" s="266"/>
      <c r="H127" s="55"/>
      <c r="I127" s="60"/>
      <c r="J127" s="70" t="s">
        <v>92</v>
      </c>
      <c r="K127" s="709" t="s">
        <v>49</v>
      </c>
      <c r="L127" s="209"/>
      <c r="M127" s="210"/>
      <c r="N127" s="246"/>
      <c r="O127" s="247"/>
      <c r="P127" s="165"/>
      <c r="Q127" s="153"/>
      <c r="R127" s="398"/>
      <c r="S127" s="391"/>
      <c r="T127" s="102" t="s">
        <v>382</v>
      </c>
      <c r="U127" s="111" t="s">
        <v>22</v>
      </c>
      <c r="V127" s="621">
        <f>COUNTIF(J127:S130, "M")</f>
        <v>2</v>
      </c>
      <c r="W127" s="674">
        <f>COUNTIF(J127:S130, "Z")</f>
        <v>2</v>
      </c>
      <c r="X127" s="470"/>
      <c r="Y127" s="134">
        <f t="shared" si="2"/>
        <v>4</v>
      </c>
      <c r="Z127" s="4"/>
    </row>
    <row r="128" spans="2:27" s="1" customFormat="1" ht="24" thickTop="1" thickBot="1" x14ac:dyDescent="0.3">
      <c r="B128" s="18"/>
      <c r="C128" s="40"/>
      <c r="D128" s="81"/>
      <c r="E128" s="300"/>
      <c r="F128" s="433"/>
      <c r="G128" s="266"/>
      <c r="H128" s="55"/>
      <c r="I128" s="60"/>
      <c r="J128" s="33"/>
      <c r="K128" s="76"/>
      <c r="L128" s="80" t="s">
        <v>268</v>
      </c>
      <c r="M128" s="710" t="s">
        <v>49</v>
      </c>
      <c r="N128" s="209"/>
      <c r="O128" s="210"/>
      <c r="P128" s="165"/>
      <c r="Q128" s="153"/>
      <c r="R128" s="394"/>
      <c r="S128" s="390"/>
      <c r="T128" s="103" t="s">
        <v>430</v>
      </c>
      <c r="U128" s="576" t="s">
        <v>269</v>
      </c>
      <c r="V128" s="618">
        <f>COUNTIF(L128:S130, "M")</f>
        <v>1</v>
      </c>
      <c r="W128" s="678">
        <f>COUNTIF(L128:S130, "Z")</f>
        <v>2</v>
      </c>
      <c r="X128" s="577"/>
      <c r="Y128" s="129">
        <f t="shared" si="2"/>
        <v>3</v>
      </c>
      <c r="Z128" s="4"/>
    </row>
    <row r="129" spans="1:26" s="1" customFormat="1" ht="17" thickTop="1" thickBot="1" x14ac:dyDescent="0.3">
      <c r="B129" s="18"/>
      <c r="C129" s="40"/>
      <c r="D129" s="81"/>
      <c r="E129" s="300"/>
      <c r="F129" s="433"/>
      <c r="G129" s="266"/>
      <c r="H129" s="55"/>
      <c r="I129" s="60"/>
      <c r="J129" s="33"/>
      <c r="K129" s="76"/>
      <c r="L129" s="81"/>
      <c r="M129" s="94"/>
      <c r="N129" s="364" t="s">
        <v>48</v>
      </c>
      <c r="O129" s="200" t="s">
        <v>50</v>
      </c>
      <c r="P129" s="162"/>
      <c r="Q129" s="163"/>
      <c r="R129" s="387"/>
      <c r="S129" s="388"/>
      <c r="T129" s="491"/>
      <c r="U129" s="492"/>
      <c r="V129" s="615"/>
      <c r="W129" s="664"/>
      <c r="X129" s="493"/>
      <c r="Y129" s="494"/>
    </row>
    <row r="130" spans="1:26" s="1" customFormat="1" ht="17" thickTop="1" thickBot="1" x14ac:dyDescent="0.3">
      <c r="B130" s="18"/>
      <c r="C130" s="40"/>
      <c r="D130" s="81"/>
      <c r="E130" s="300"/>
      <c r="F130" s="433"/>
      <c r="G130" s="266"/>
      <c r="H130" s="302"/>
      <c r="I130" s="60"/>
      <c r="J130" s="68"/>
      <c r="K130" s="76"/>
      <c r="L130" s="233"/>
      <c r="M130" s="248"/>
      <c r="N130" s="368" t="s">
        <v>46</v>
      </c>
      <c r="O130" s="200" t="s">
        <v>50</v>
      </c>
      <c r="P130" s="162"/>
      <c r="Q130" s="163"/>
      <c r="R130" s="387"/>
      <c r="S130" s="287"/>
      <c r="T130" s="513"/>
      <c r="U130" s="514"/>
      <c r="V130" s="616"/>
      <c r="W130" s="681"/>
      <c r="X130" s="515"/>
      <c r="Y130" s="516"/>
    </row>
    <row r="131" spans="1:26" s="1" customFormat="1" ht="17" thickTop="1" thickBot="1" x14ac:dyDescent="0.3">
      <c r="B131" s="18"/>
      <c r="C131" s="40"/>
      <c r="D131" s="81"/>
      <c r="E131" s="300"/>
      <c r="F131" s="43"/>
      <c r="G131" s="265"/>
      <c r="H131" s="30"/>
      <c r="I131" s="59"/>
      <c r="J131" s="436" t="s">
        <v>23</v>
      </c>
      <c r="K131" s="437" t="s">
        <v>49</v>
      </c>
      <c r="L131" s="186"/>
      <c r="M131" s="187"/>
      <c r="N131" s="215"/>
      <c r="O131" s="216"/>
      <c r="P131" s="165"/>
      <c r="Q131" s="153"/>
      <c r="R131" s="393"/>
      <c r="S131" s="391"/>
      <c r="T131" s="569" t="s">
        <v>383</v>
      </c>
      <c r="U131" s="570" t="s">
        <v>23</v>
      </c>
      <c r="V131" s="617">
        <v>1</v>
      </c>
      <c r="W131" s="677">
        <v>0</v>
      </c>
      <c r="X131" s="575"/>
      <c r="Y131" s="572">
        <f t="shared" si="2"/>
        <v>1</v>
      </c>
    </row>
    <row r="132" spans="1:26" s="1" customFormat="1" ht="17" thickTop="1" thickBot="1" x14ac:dyDescent="0.3">
      <c r="B132" s="18"/>
      <c r="C132" s="40"/>
      <c r="D132" s="81"/>
      <c r="E132" s="300"/>
      <c r="F132" s="43"/>
      <c r="G132" s="266"/>
      <c r="H132" s="55"/>
      <c r="I132" s="60"/>
      <c r="J132" s="436" t="s">
        <v>24</v>
      </c>
      <c r="K132" s="437" t="s">
        <v>49</v>
      </c>
      <c r="L132" s="188"/>
      <c r="M132" s="189"/>
      <c r="N132" s="165"/>
      <c r="O132" s="153"/>
      <c r="P132" s="165"/>
      <c r="Q132" s="153"/>
      <c r="R132" s="396"/>
      <c r="S132" s="390"/>
      <c r="T132" s="569" t="s">
        <v>384</v>
      </c>
      <c r="U132" s="570" t="s">
        <v>24</v>
      </c>
      <c r="V132" s="617">
        <v>1</v>
      </c>
      <c r="W132" s="677">
        <v>0</v>
      </c>
      <c r="X132" s="575"/>
      <c r="Y132" s="572">
        <f t="shared" si="2"/>
        <v>1</v>
      </c>
    </row>
    <row r="133" spans="1:26" s="1" customFormat="1" ht="17" thickTop="1" thickBot="1" x14ac:dyDescent="0.3">
      <c r="B133" s="18"/>
      <c r="C133" s="40"/>
      <c r="D133" s="81"/>
      <c r="E133" s="300"/>
      <c r="F133" s="43"/>
      <c r="G133" s="266"/>
      <c r="H133" s="52"/>
      <c r="I133" s="60"/>
      <c r="J133" s="436" t="s">
        <v>25</v>
      </c>
      <c r="K133" s="437" t="s">
        <v>49</v>
      </c>
      <c r="L133" s="188"/>
      <c r="M133" s="189"/>
      <c r="N133" s="165"/>
      <c r="O133" s="153"/>
      <c r="P133" s="165"/>
      <c r="Q133" s="153"/>
      <c r="R133" s="396"/>
      <c r="S133" s="390"/>
      <c r="T133" s="569" t="s">
        <v>385</v>
      </c>
      <c r="U133" s="570" t="s">
        <v>25</v>
      </c>
      <c r="V133" s="617">
        <v>1</v>
      </c>
      <c r="W133" s="677">
        <v>0</v>
      </c>
      <c r="X133" s="575"/>
      <c r="Y133" s="572">
        <f t="shared" si="2"/>
        <v>1</v>
      </c>
    </row>
    <row r="134" spans="1:26" s="1" customFormat="1" ht="17" thickTop="1" thickBot="1" x14ac:dyDescent="0.3">
      <c r="B134" s="18"/>
      <c r="C134" s="40"/>
      <c r="D134" s="81"/>
      <c r="E134" s="300"/>
      <c r="F134" s="43"/>
      <c r="G134" s="266"/>
      <c r="H134" s="67" t="s">
        <v>19</v>
      </c>
      <c r="I134" s="200" t="s">
        <v>50</v>
      </c>
      <c r="J134" s="192"/>
      <c r="K134" s="193"/>
      <c r="L134" s="188"/>
      <c r="M134" s="189"/>
      <c r="N134" s="165"/>
      <c r="O134" s="153"/>
      <c r="P134" s="165"/>
      <c r="Q134" s="153"/>
      <c r="R134" s="396"/>
      <c r="S134" s="390"/>
      <c r="T134" s="491"/>
      <c r="U134" s="528"/>
      <c r="V134" s="610"/>
      <c r="W134" s="686"/>
      <c r="X134" s="529"/>
      <c r="Y134" s="530"/>
    </row>
    <row r="135" spans="1:26" s="1" customFormat="1" ht="17" thickTop="1" thickBot="1" x14ac:dyDescent="0.3">
      <c r="B135" s="18"/>
      <c r="C135" s="40"/>
      <c r="D135" s="81"/>
      <c r="E135" s="300"/>
      <c r="F135" s="43"/>
      <c r="G135" s="266"/>
      <c r="H135" s="67" t="s">
        <v>20</v>
      </c>
      <c r="I135" s="200" t="s">
        <v>50</v>
      </c>
      <c r="J135" s="194"/>
      <c r="K135" s="175"/>
      <c r="L135" s="249"/>
      <c r="M135" s="250"/>
      <c r="N135" s="162"/>
      <c r="O135" s="163"/>
      <c r="P135" s="162"/>
      <c r="Q135" s="163"/>
      <c r="R135" s="399"/>
      <c r="S135" s="388"/>
      <c r="T135" s="495"/>
      <c r="U135" s="496"/>
      <c r="V135" s="628"/>
      <c r="W135" s="665"/>
      <c r="X135" s="497"/>
      <c r="Y135" s="498"/>
    </row>
    <row r="136" spans="1:26" s="1" customFormat="1" ht="17" thickTop="1" thickBot="1" x14ac:dyDescent="0.3">
      <c r="B136" s="18"/>
      <c r="C136" s="40"/>
      <c r="D136" s="81"/>
      <c r="E136" s="300"/>
      <c r="F136" s="269"/>
      <c r="G136" s="266"/>
      <c r="H136" s="69" t="s">
        <v>21</v>
      </c>
      <c r="I136" s="200" t="s">
        <v>50</v>
      </c>
      <c r="J136" s="194"/>
      <c r="K136" s="175"/>
      <c r="L136" s="249"/>
      <c r="M136" s="250"/>
      <c r="N136" s="162"/>
      <c r="O136" s="163"/>
      <c r="P136" s="162"/>
      <c r="Q136" s="163"/>
      <c r="R136" s="399"/>
      <c r="S136" s="388"/>
      <c r="T136" s="513"/>
      <c r="U136" s="514"/>
      <c r="V136" s="616"/>
      <c r="W136" s="681"/>
      <c r="X136" s="515"/>
      <c r="Y136" s="516"/>
    </row>
    <row r="137" spans="1:26" s="1" customFormat="1" ht="17" thickTop="1" thickBot="1" x14ac:dyDescent="0.3">
      <c r="B137" s="18"/>
      <c r="C137" s="40"/>
      <c r="D137" s="81"/>
      <c r="E137" s="300"/>
      <c r="F137" s="303" t="s">
        <v>12</v>
      </c>
      <c r="G137" s="453" t="s">
        <v>49</v>
      </c>
      <c r="H137" s="184"/>
      <c r="I137" s="185"/>
      <c r="J137" s="212"/>
      <c r="K137" s="177"/>
      <c r="L137" s="188"/>
      <c r="M137" s="189"/>
      <c r="N137" s="165"/>
      <c r="O137" s="153"/>
      <c r="P137" s="165"/>
      <c r="Q137" s="153"/>
      <c r="R137" s="400"/>
      <c r="S137" s="390"/>
      <c r="T137" s="99" t="s">
        <v>335</v>
      </c>
      <c r="U137" s="100" t="s">
        <v>12</v>
      </c>
      <c r="V137" s="651">
        <f>COUNTIF(F137:S142, "M")</f>
        <v>4</v>
      </c>
      <c r="W137" s="687">
        <f>COUNTIF(F137:S142, "Z")</f>
        <v>2</v>
      </c>
      <c r="X137" s="101"/>
      <c r="Y137" s="128">
        <f t="shared" si="2"/>
        <v>6</v>
      </c>
      <c r="Z137" s="4"/>
    </row>
    <row r="138" spans="1:26" s="1" customFormat="1" ht="17" thickTop="1" thickBot="1" x14ac:dyDescent="0.3">
      <c r="B138" s="18"/>
      <c r="C138" s="40"/>
      <c r="D138" s="81"/>
      <c r="E138" s="300"/>
      <c r="F138" s="303"/>
      <c r="G138" s="304"/>
      <c r="H138" s="364" t="s">
        <v>26</v>
      </c>
      <c r="I138" s="200" t="s">
        <v>50</v>
      </c>
      <c r="J138" s="194"/>
      <c r="K138" s="175"/>
      <c r="L138" s="249"/>
      <c r="M138" s="250"/>
      <c r="N138" s="162"/>
      <c r="O138" s="163"/>
      <c r="P138" s="162"/>
      <c r="Q138" s="163"/>
      <c r="R138" s="399"/>
      <c r="S138" s="408"/>
      <c r="T138" s="491"/>
      <c r="U138" s="492"/>
      <c r="V138" s="652"/>
      <c r="W138" s="664"/>
      <c r="X138" s="493"/>
      <c r="Y138" s="494"/>
    </row>
    <row r="139" spans="1:26" s="1" customFormat="1" ht="27.5" thickTop="1" thickBot="1" x14ac:dyDescent="0.3">
      <c r="B139" s="18" t="s">
        <v>129</v>
      </c>
      <c r="C139" s="40"/>
      <c r="D139" s="81" t="s">
        <v>130</v>
      </c>
      <c r="E139" s="300"/>
      <c r="F139" s="305"/>
      <c r="G139" s="304"/>
      <c r="H139" s="67" t="s">
        <v>27</v>
      </c>
      <c r="I139" s="200" t="s">
        <v>50</v>
      </c>
      <c r="J139" s="194"/>
      <c r="K139" s="175"/>
      <c r="L139" s="249"/>
      <c r="M139" s="250"/>
      <c r="N139" s="162"/>
      <c r="O139" s="163"/>
      <c r="P139" s="162"/>
      <c r="Q139" s="163"/>
      <c r="R139" s="399"/>
      <c r="S139" s="388"/>
      <c r="T139" s="513"/>
      <c r="U139" s="514"/>
      <c r="V139" s="616"/>
      <c r="W139" s="681"/>
      <c r="X139" s="515"/>
      <c r="Y139" s="516"/>
    </row>
    <row r="140" spans="1:26" s="1" customFormat="1" ht="17" thickTop="1" thickBot="1" x14ac:dyDescent="0.3">
      <c r="B140" s="18"/>
      <c r="C140" s="40"/>
      <c r="D140" s="81"/>
      <c r="E140" s="300"/>
      <c r="F140" s="305"/>
      <c r="G140" s="304"/>
      <c r="H140" s="275" t="s">
        <v>28</v>
      </c>
      <c r="I140" s="260" t="s">
        <v>49</v>
      </c>
      <c r="J140" s="213"/>
      <c r="K140" s="214"/>
      <c r="L140" s="188"/>
      <c r="M140" s="189"/>
      <c r="N140" s="165"/>
      <c r="O140" s="153"/>
      <c r="P140" s="165"/>
      <c r="Q140" s="153"/>
      <c r="R140" s="400"/>
      <c r="S140" s="390"/>
      <c r="T140" s="102" t="s">
        <v>349</v>
      </c>
      <c r="U140" s="564" t="s">
        <v>28</v>
      </c>
      <c r="V140" s="612">
        <f>COUNTIF(H140:S142, "M")</f>
        <v>3</v>
      </c>
      <c r="W140" s="668">
        <f>COUNTIF(H140:S142, "Z")</f>
        <v>0</v>
      </c>
      <c r="X140" s="112"/>
      <c r="Y140" s="134">
        <f t="shared" si="2"/>
        <v>3</v>
      </c>
      <c r="Z140" s="4"/>
    </row>
    <row r="141" spans="1:26" s="1" customFormat="1" ht="17" thickTop="1" thickBot="1" x14ac:dyDescent="0.3">
      <c r="B141" s="18"/>
      <c r="C141" s="40"/>
      <c r="D141" s="81"/>
      <c r="E141" s="300"/>
      <c r="F141" s="303"/>
      <c r="G141" s="304"/>
      <c r="H141" s="65"/>
      <c r="I141" s="260"/>
      <c r="J141" s="436" t="s">
        <v>87</v>
      </c>
      <c r="K141" s="437" t="s">
        <v>49</v>
      </c>
      <c r="L141" s="188"/>
      <c r="M141" s="189"/>
      <c r="N141" s="165"/>
      <c r="O141" s="153"/>
      <c r="P141" s="165"/>
      <c r="Q141" s="153"/>
      <c r="R141" s="396"/>
      <c r="S141" s="390"/>
      <c r="T141" s="569" t="s">
        <v>386</v>
      </c>
      <c r="U141" s="570" t="s">
        <v>87</v>
      </c>
      <c r="V141" s="617">
        <v>1</v>
      </c>
      <c r="W141" s="677">
        <v>0</v>
      </c>
      <c r="X141" s="575"/>
      <c r="Y141" s="572">
        <f t="shared" si="2"/>
        <v>1</v>
      </c>
      <c r="Z141" s="4"/>
    </row>
    <row r="142" spans="1:26" s="1" customFormat="1" ht="21" thickTop="1" thickBot="1" x14ac:dyDescent="0.3">
      <c r="B142" s="18"/>
      <c r="C142" s="40"/>
      <c r="D142" s="81"/>
      <c r="E142" s="300"/>
      <c r="F142" s="306"/>
      <c r="G142" s="304"/>
      <c r="H142" s="276"/>
      <c r="I142" s="277"/>
      <c r="J142" s="439" t="s">
        <v>126</v>
      </c>
      <c r="K142" s="437" t="s">
        <v>49</v>
      </c>
      <c r="L142" s="188"/>
      <c r="M142" s="189"/>
      <c r="N142" s="165"/>
      <c r="O142" s="153"/>
      <c r="P142" s="165"/>
      <c r="Q142" s="153"/>
      <c r="R142" s="396"/>
      <c r="S142" s="390"/>
      <c r="T142" s="582" t="s">
        <v>387</v>
      </c>
      <c r="U142" s="583" t="s">
        <v>126</v>
      </c>
      <c r="V142" s="631">
        <v>1</v>
      </c>
      <c r="W142" s="584">
        <v>0</v>
      </c>
      <c r="X142" s="584"/>
      <c r="Y142" s="584">
        <f t="shared" si="2"/>
        <v>1</v>
      </c>
      <c r="Z142" s="4"/>
    </row>
    <row r="143" spans="1:26" s="1" customFormat="1" ht="17" thickTop="1" thickBot="1" x14ac:dyDescent="0.3">
      <c r="A143" s="19"/>
      <c r="B143" s="18"/>
      <c r="C143" s="40"/>
      <c r="D143" s="81"/>
      <c r="E143" s="300"/>
      <c r="F143" s="434" t="s">
        <v>29</v>
      </c>
      <c r="G143" s="435" t="s">
        <v>49</v>
      </c>
      <c r="H143" s="186"/>
      <c r="I143" s="187"/>
      <c r="J143" s="215"/>
      <c r="K143" s="216"/>
      <c r="L143" s="188"/>
      <c r="M143" s="189"/>
      <c r="N143" s="165"/>
      <c r="O143" s="153"/>
      <c r="P143" s="165"/>
      <c r="Q143" s="153"/>
      <c r="R143" s="396"/>
      <c r="S143" s="390"/>
      <c r="T143" s="569" t="s">
        <v>336</v>
      </c>
      <c r="U143" s="585" t="s">
        <v>29</v>
      </c>
      <c r="V143" s="609">
        <v>1</v>
      </c>
      <c r="W143" s="673">
        <v>0</v>
      </c>
      <c r="X143" s="571"/>
      <c r="Y143" s="572">
        <f t="shared" si="2"/>
        <v>1</v>
      </c>
    </row>
    <row r="144" spans="1:26" s="1" customFormat="1" ht="17" thickTop="1" thickBot="1" x14ac:dyDescent="0.3">
      <c r="B144" s="18"/>
      <c r="C144" s="40"/>
      <c r="D144" s="81"/>
      <c r="E144" s="300"/>
      <c r="F144" s="67" t="s">
        <v>27</v>
      </c>
      <c r="G144" s="200" t="s">
        <v>50</v>
      </c>
      <c r="H144" s="188"/>
      <c r="I144" s="189"/>
      <c r="J144" s="165"/>
      <c r="K144" s="153"/>
      <c r="L144" s="188"/>
      <c r="M144" s="189"/>
      <c r="N144" s="165"/>
      <c r="O144" s="153"/>
      <c r="P144" s="165"/>
      <c r="Q144" s="153"/>
      <c r="R144" s="396"/>
      <c r="S144" s="390"/>
      <c r="T144" s="491"/>
      <c r="U144" s="528"/>
      <c r="V144" s="610"/>
      <c r="W144" s="686"/>
      <c r="X144" s="529"/>
      <c r="Y144" s="530"/>
    </row>
    <row r="145" spans="1:30" s="1" customFormat="1" ht="17" thickTop="1" thickBot="1" x14ac:dyDescent="0.3">
      <c r="B145" s="18"/>
      <c r="C145" s="40"/>
      <c r="D145" s="81"/>
      <c r="E145" s="300"/>
      <c r="F145" s="67" t="s">
        <v>11</v>
      </c>
      <c r="G145" s="200" t="s">
        <v>50</v>
      </c>
      <c r="H145" s="188"/>
      <c r="I145" s="189"/>
      <c r="J145" s="165"/>
      <c r="K145" s="153"/>
      <c r="L145" s="188"/>
      <c r="M145" s="189"/>
      <c r="N145" s="165"/>
      <c r="O145" s="153"/>
      <c r="P145" s="165"/>
      <c r="Q145" s="153"/>
      <c r="R145" s="396"/>
      <c r="S145" s="390"/>
      <c r="T145" s="513"/>
      <c r="U145" s="531"/>
      <c r="V145" s="611"/>
      <c r="W145" s="688"/>
      <c r="X145" s="532"/>
      <c r="Y145" s="533"/>
    </row>
    <row r="146" spans="1:30" s="1" customFormat="1" ht="17" thickTop="1" thickBot="1" x14ac:dyDescent="0.3">
      <c r="B146" s="18"/>
      <c r="C146" s="40"/>
      <c r="D146" s="81"/>
      <c r="E146" s="300"/>
      <c r="F146" s="307" t="s">
        <v>270</v>
      </c>
      <c r="G146" s="259" t="s">
        <v>49</v>
      </c>
      <c r="H146" s="190"/>
      <c r="I146" s="191"/>
      <c r="J146" s="165"/>
      <c r="K146" s="153"/>
      <c r="L146" s="188"/>
      <c r="M146" s="189"/>
      <c r="N146" s="165"/>
      <c r="O146" s="153"/>
      <c r="P146" s="165"/>
      <c r="Q146" s="153"/>
      <c r="R146" s="400"/>
      <c r="S146" s="390"/>
      <c r="T146" s="102" t="s">
        <v>337</v>
      </c>
      <c r="U146" s="564" t="s">
        <v>271</v>
      </c>
      <c r="V146" s="612">
        <f>COUNTIF(F146:S228, "M")</f>
        <v>54</v>
      </c>
      <c r="W146" s="668">
        <f>COUNTIF(F146:S228, "Z")</f>
        <v>28</v>
      </c>
      <c r="X146" s="608">
        <f>COUNTIF(F146:S228, "X")</f>
        <v>1</v>
      </c>
      <c r="Y146" s="134">
        <f t="shared" si="2"/>
        <v>83</v>
      </c>
    </row>
    <row r="147" spans="1:30" s="19" customFormat="1" ht="17" thickTop="1" thickBot="1" x14ac:dyDescent="0.3">
      <c r="A147" s="1"/>
      <c r="B147" s="18"/>
      <c r="C147" s="40"/>
      <c r="D147" s="81"/>
      <c r="E147" s="300"/>
      <c r="F147" s="294"/>
      <c r="G147" s="110"/>
      <c r="H147" s="436" t="s">
        <v>29</v>
      </c>
      <c r="I147" s="437" t="s">
        <v>49</v>
      </c>
      <c r="J147" s="162"/>
      <c r="K147" s="163"/>
      <c r="L147" s="249"/>
      <c r="M147" s="250"/>
      <c r="N147" s="162"/>
      <c r="O147" s="163"/>
      <c r="P147" s="162"/>
      <c r="Q147" s="163"/>
      <c r="R147" s="399"/>
      <c r="S147" s="388"/>
      <c r="T147" s="569" t="s">
        <v>350</v>
      </c>
      <c r="U147" s="585" t="s">
        <v>29</v>
      </c>
      <c r="V147" s="609">
        <v>1</v>
      </c>
      <c r="W147" s="673">
        <v>0</v>
      </c>
      <c r="X147" s="571"/>
      <c r="Y147" s="572">
        <f t="shared" si="2"/>
        <v>1</v>
      </c>
      <c r="Z147" s="1"/>
      <c r="AA147" s="1"/>
      <c r="AB147" s="1"/>
      <c r="AC147" s="1"/>
      <c r="AD147" s="1"/>
    </row>
    <row r="148" spans="1:30" s="1" customFormat="1" ht="17" thickTop="1" thickBot="1" x14ac:dyDescent="0.3">
      <c r="B148" s="18"/>
      <c r="C148" s="40"/>
      <c r="D148" s="81"/>
      <c r="E148" s="300"/>
      <c r="F148" s="308"/>
      <c r="G148" s="110"/>
      <c r="H148" s="436" t="s">
        <v>30</v>
      </c>
      <c r="I148" s="437" t="s">
        <v>49</v>
      </c>
      <c r="J148" s="162"/>
      <c r="K148" s="163"/>
      <c r="L148" s="249"/>
      <c r="M148" s="250"/>
      <c r="N148" s="162"/>
      <c r="O148" s="163"/>
      <c r="P148" s="162"/>
      <c r="Q148" s="163"/>
      <c r="R148" s="399"/>
      <c r="S148" s="388"/>
      <c r="T148" s="569" t="s">
        <v>351</v>
      </c>
      <c r="U148" s="585" t="s">
        <v>30</v>
      </c>
      <c r="V148" s="609">
        <v>1</v>
      </c>
      <c r="W148" s="673">
        <v>0</v>
      </c>
      <c r="X148" s="571"/>
      <c r="Y148" s="572">
        <f t="shared" ref="Y148:Y211" si="3">V148+W148+X148</f>
        <v>1</v>
      </c>
    </row>
    <row r="149" spans="1:30" s="1" customFormat="1" ht="17" thickTop="1" thickBot="1" x14ac:dyDescent="0.3">
      <c r="B149" s="18"/>
      <c r="C149" s="40"/>
      <c r="D149" s="81"/>
      <c r="E149" s="300"/>
      <c r="F149" s="308"/>
      <c r="G149" s="110"/>
      <c r="H149" s="67" t="s">
        <v>31</v>
      </c>
      <c r="I149" s="200" t="s">
        <v>50</v>
      </c>
      <c r="J149" s="162"/>
      <c r="K149" s="163"/>
      <c r="L149" s="251"/>
      <c r="M149" s="250"/>
      <c r="N149" s="162"/>
      <c r="O149" s="163"/>
      <c r="P149" s="162"/>
      <c r="Q149" s="163"/>
      <c r="R149" s="399"/>
      <c r="S149" s="388"/>
      <c r="T149" s="467"/>
      <c r="U149" s="468"/>
      <c r="V149" s="613"/>
      <c r="W149" s="676"/>
      <c r="X149" s="475"/>
      <c r="Y149" s="469"/>
    </row>
    <row r="150" spans="1:30" s="1" customFormat="1" ht="17" thickTop="1" thickBot="1" x14ac:dyDescent="0.3">
      <c r="B150" s="18"/>
      <c r="C150" s="40"/>
      <c r="D150" s="81"/>
      <c r="E150" s="300"/>
      <c r="F150" s="308"/>
      <c r="G150" s="110"/>
      <c r="H150" s="436" t="s">
        <v>32</v>
      </c>
      <c r="I150" s="437" t="s">
        <v>49</v>
      </c>
      <c r="J150" s="162"/>
      <c r="K150" s="163"/>
      <c r="L150" s="249"/>
      <c r="M150" s="250"/>
      <c r="N150" s="162"/>
      <c r="O150" s="163"/>
      <c r="P150" s="162"/>
      <c r="Q150" s="163"/>
      <c r="R150" s="399"/>
      <c r="S150" s="388"/>
      <c r="T150" s="569" t="s">
        <v>352</v>
      </c>
      <c r="U150" s="585" t="s">
        <v>32</v>
      </c>
      <c r="V150" s="609">
        <v>1</v>
      </c>
      <c r="W150" s="673">
        <v>0</v>
      </c>
      <c r="X150" s="571"/>
      <c r="Y150" s="572">
        <f t="shared" si="3"/>
        <v>1</v>
      </c>
    </row>
    <row r="151" spans="1:30" s="1" customFormat="1" ht="24" thickTop="1" thickBot="1" x14ac:dyDescent="0.3">
      <c r="B151" s="18"/>
      <c r="C151" s="40"/>
      <c r="D151" s="81"/>
      <c r="E151" s="300"/>
      <c r="F151" s="308"/>
      <c r="G151" s="110"/>
      <c r="H151" s="262" t="s">
        <v>272</v>
      </c>
      <c r="I151" s="705" t="s">
        <v>49</v>
      </c>
      <c r="J151" s="164"/>
      <c r="K151" s="167"/>
      <c r="L151" s="188"/>
      <c r="M151" s="189"/>
      <c r="N151" s="165"/>
      <c r="O151" s="153"/>
      <c r="P151" s="165"/>
      <c r="Q151" s="153"/>
      <c r="R151" s="400"/>
      <c r="S151" s="390"/>
      <c r="T151" s="106" t="s">
        <v>353</v>
      </c>
      <c r="U151" s="107" t="s">
        <v>273</v>
      </c>
      <c r="V151" s="614">
        <f>COUNTIF(H151:S176, "M")</f>
        <v>16</v>
      </c>
      <c r="W151" s="655">
        <f>COUNTIF(H151:S176, "Z")</f>
        <v>9</v>
      </c>
      <c r="X151" s="608">
        <f>COUNTIF(H151:T176, "X")</f>
        <v>1</v>
      </c>
      <c r="Y151" s="133">
        <f t="shared" si="3"/>
        <v>26</v>
      </c>
      <c r="Z151" s="4"/>
    </row>
    <row r="152" spans="1:30" s="1" customFormat="1" ht="17" thickTop="1" thickBot="1" x14ac:dyDescent="0.3">
      <c r="B152" s="18"/>
      <c r="C152" s="40"/>
      <c r="D152" s="81"/>
      <c r="E152" s="300"/>
      <c r="F152" s="294"/>
      <c r="G152" s="260"/>
      <c r="H152" s="262"/>
      <c r="I152" s="266"/>
      <c r="J152" s="67" t="s">
        <v>33</v>
      </c>
      <c r="K152" s="200" t="s">
        <v>50</v>
      </c>
      <c r="L152" s="249"/>
      <c r="M152" s="250"/>
      <c r="N152" s="162"/>
      <c r="O152" s="163"/>
      <c r="P152" s="162"/>
      <c r="Q152" s="163"/>
      <c r="R152" s="399"/>
      <c r="S152" s="388"/>
      <c r="T152" s="491"/>
      <c r="U152" s="492"/>
      <c r="V152" s="615"/>
      <c r="W152" s="664"/>
      <c r="X152" s="493"/>
      <c r="Y152" s="494"/>
    </row>
    <row r="153" spans="1:30" s="1" customFormat="1" ht="17" thickTop="1" thickBot="1" x14ac:dyDescent="0.3">
      <c r="B153" s="18"/>
      <c r="C153" s="40"/>
      <c r="D153" s="81"/>
      <c r="E153" s="300"/>
      <c r="F153" s="308"/>
      <c r="G153" s="110"/>
      <c r="H153" s="262"/>
      <c r="I153" s="266"/>
      <c r="J153" s="67" t="s">
        <v>34</v>
      </c>
      <c r="K153" s="200" t="s">
        <v>50</v>
      </c>
      <c r="L153" s="249"/>
      <c r="M153" s="250"/>
      <c r="N153" s="162"/>
      <c r="O153" s="163"/>
      <c r="P153" s="162"/>
      <c r="Q153" s="163"/>
      <c r="R153" s="399"/>
      <c r="S153" s="388"/>
      <c r="T153" s="513"/>
      <c r="U153" s="514"/>
      <c r="V153" s="616"/>
      <c r="W153" s="681"/>
      <c r="X153" s="515"/>
      <c r="Y153" s="516"/>
    </row>
    <row r="154" spans="1:30" s="1" customFormat="1" ht="17" thickTop="1" thickBot="1" x14ac:dyDescent="0.3">
      <c r="B154" s="18"/>
      <c r="C154" s="40"/>
      <c r="D154" s="81"/>
      <c r="E154" s="300"/>
      <c r="F154" s="308"/>
      <c r="G154" s="110"/>
      <c r="H154" s="262"/>
      <c r="I154" s="266"/>
      <c r="J154" s="436" t="s">
        <v>0</v>
      </c>
      <c r="K154" s="437" t="s">
        <v>49</v>
      </c>
      <c r="L154" s="249"/>
      <c r="M154" s="250"/>
      <c r="N154" s="162"/>
      <c r="O154" s="163"/>
      <c r="P154" s="162"/>
      <c r="Q154" s="163"/>
      <c r="R154" s="399"/>
      <c r="S154" s="388"/>
      <c r="T154" s="569" t="s">
        <v>388</v>
      </c>
      <c r="U154" s="570" t="s">
        <v>0</v>
      </c>
      <c r="V154" s="617">
        <v>1</v>
      </c>
      <c r="W154" s="677">
        <v>0</v>
      </c>
      <c r="X154" s="575"/>
      <c r="Y154" s="572">
        <f t="shared" si="3"/>
        <v>1</v>
      </c>
    </row>
    <row r="155" spans="1:30" s="1" customFormat="1" ht="17" thickTop="1" thickBot="1" x14ac:dyDescent="0.3">
      <c r="B155" s="18"/>
      <c r="C155" s="40"/>
      <c r="D155" s="81"/>
      <c r="E155" s="300"/>
      <c r="F155" s="308"/>
      <c r="G155" s="110"/>
      <c r="H155" s="262"/>
      <c r="I155" s="266"/>
      <c r="J155" s="67" t="s">
        <v>35</v>
      </c>
      <c r="K155" s="200" t="s">
        <v>50</v>
      </c>
      <c r="L155" s="249"/>
      <c r="M155" s="250"/>
      <c r="N155" s="162"/>
      <c r="O155" s="163"/>
      <c r="P155" s="162"/>
      <c r="Q155" s="163"/>
      <c r="R155" s="407"/>
      <c r="S155" s="287"/>
      <c r="T155" s="467"/>
      <c r="U155" s="468"/>
      <c r="V155" s="613"/>
      <c r="W155" s="676"/>
      <c r="X155" s="475"/>
      <c r="Y155" s="469"/>
    </row>
    <row r="156" spans="1:30" s="1" customFormat="1" ht="17" thickTop="1" thickBot="1" x14ac:dyDescent="0.3">
      <c r="B156" s="18"/>
      <c r="C156" s="40"/>
      <c r="D156" s="81"/>
      <c r="E156" s="300"/>
      <c r="F156" s="308"/>
      <c r="G156" s="110"/>
      <c r="H156" s="262"/>
      <c r="I156" s="266"/>
      <c r="J156" s="313" t="s">
        <v>29</v>
      </c>
      <c r="K156" s="299" t="s">
        <v>49</v>
      </c>
      <c r="L156" s="190"/>
      <c r="M156" s="252"/>
      <c r="N156" s="165"/>
      <c r="O156" s="153"/>
      <c r="P156" s="165"/>
      <c r="Q156" s="153"/>
      <c r="R156" s="398"/>
      <c r="S156" s="391"/>
      <c r="T156" s="103" t="s">
        <v>389</v>
      </c>
      <c r="U156" s="576" t="s">
        <v>29</v>
      </c>
      <c r="V156" s="618">
        <f>COUNTIF(J156:S158, "M")</f>
        <v>2</v>
      </c>
      <c r="W156" s="678">
        <f>COUNTIF(J156:S158, "Z")</f>
        <v>1</v>
      </c>
      <c r="X156" s="577"/>
      <c r="Y156" s="129">
        <f t="shared" si="3"/>
        <v>3</v>
      </c>
      <c r="Z156" s="4"/>
      <c r="AA156" s="4"/>
      <c r="AB156" s="4"/>
      <c r="AC156" s="4"/>
    </row>
    <row r="157" spans="1:30" s="1" customFormat="1" ht="27.5" thickTop="1" thickBot="1" x14ac:dyDescent="0.3">
      <c r="B157" s="18" t="s">
        <v>129</v>
      </c>
      <c r="C157" s="40"/>
      <c r="D157" s="81" t="s">
        <v>130</v>
      </c>
      <c r="E157" s="300"/>
      <c r="F157" s="698" t="s">
        <v>270</v>
      </c>
      <c r="G157" s="110"/>
      <c r="H157" s="262"/>
      <c r="I157" s="266"/>
      <c r="J157" s="81"/>
      <c r="K157" s="314"/>
      <c r="L157" s="436" t="s">
        <v>53</v>
      </c>
      <c r="M157" s="437" t="s">
        <v>49</v>
      </c>
      <c r="N157" s="165"/>
      <c r="O157" s="153"/>
      <c r="P157" s="165"/>
      <c r="Q157" s="153"/>
      <c r="R157" s="396"/>
      <c r="S157" s="388"/>
      <c r="T157" s="569" t="s">
        <v>431</v>
      </c>
      <c r="U157" s="570" t="s">
        <v>53</v>
      </c>
      <c r="V157" s="617">
        <v>1</v>
      </c>
      <c r="W157" s="677">
        <v>0</v>
      </c>
      <c r="X157" s="575"/>
      <c r="Y157" s="572">
        <f t="shared" si="3"/>
        <v>1</v>
      </c>
    </row>
    <row r="158" spans="1:30" s="1" customFormat="1" ht="17" thickTop="1" thickBot="1" x14ac:dyDescent="0.3">
      <c r="B158" s="18"/>
      <c r="C158" s="40"/>
      <c r="D158" s="81"/>
      <c r="E158" s="300"/>
      <c r="F158" s="308"/>
      <c r="G158" s="110"/>
      <c r="H158" s="262"/>
      <c r="I158" s="266"/>
      <c r="J158" s="315"/>
      <c r="K158" s="316"/>
      <c r="L158" s="67" t="s">
        <v>48</v>
      </c>
      <c r="M158" s="200" t="s">
        <v>50</v>
      </c>
      <c r="N158" s="162"/>
      <c r="O158" s="163"/>
      <c r="P158" s="162"/>
      <c r="Q158" s="163"/>
      <c r="R158" s="399"/>
      <c r="S158" s="388"/>
      <c r="T158" s="467"/>
      <c r="U158" s="468"/>
      <c r="V158" s="613"/>
      <c r="W158" s="676"/>
      <c r="X158" s="475"/>
      <c r="Y158" s="469"/>
    </row>
    <row r="159" spans="1:30" s="1" customFormat="1" ht="17" thickTop="1" thickBot="1" x14ac:dyDescent="0.3">
      <c r="B159" s="18"/>
      <c r="C159" s="40"/>
      <c r="D159" s="81"/>
      <c r="E159" s="300"/>
      <c r="F159" s="308"/>
      <c r="G159" s="110"/>
      <c r="H159" s="262"/>
      <c r="I159" s="266"/>
      <c r="J159" s="317" t="s">
        <v>36</v>
      </c>
      <c r="K159" s="318" t="s">
        <v>49</v>
      </c>
      <c r="L159" s="182"/>
      <c r="M159" s="183"/>
      <c r="N159" s="165"/>
      <c r="O159" s="153"/>
      <c r="P159" s="165"/>
      <c r="Q159" s="153"/>
      <c r="R159" s="400"/>
      <c r="S159" s="390"/>
      <c r="T159" s="547" t="s">
        <v>390</v>
      </c>
      <c r="U159" s="573" t="s">
        <v>36</v>
      </c>
      <c r="V159" s="619">
        <f>COUNTIF(J159:S161, "M")</f>
        <v>2</v>
      </c>
      <c r="W159" s="675">
        <f>COUNTIF(J159:S161, "Z")</f>
        <v>0</v>
      </c>
      <c r="X159" s="608">
        <f>COUNTIF(J159:S161, "X")</f>
        <v>1</v>
      </c>
      <c r="Y159" s="550">
        <f t="shared" si="3"/>
        <v>3</v>
      </c>
      <c r="Z159" s="4"/>
      <c r="AA159" s="4"/>
      <c r="AB159" s="4"/>
    </row>
    <row r="160" spans="1:30" s="1" customFormat="1" ht="17" thickTop="1" thickBot="1" x14ac:dyDescent="0.3">
      <c r="B160" s="18"/>
      <c r="C160" s="40"/>
      <c r="D160" s="81"/>
      <c r="E160" s="300"/>
      <c r="F160" s="308"/>
      <c r="G160" s="110"/>
      <c r="H160" s="262"/>
      <c r="I160" s="266"/>
      <c r="J160" s="303"/>
      <c r="K160" s="318"/>
      <c r="L160" s="443" t="s">
        <v>62</v>
      </c>
      <c r="M160" s="437" t="s">
        <v>49</v>
      </c>
      <c r="N160" s="165"/>
      <c r="O160" s="153"/>
      <c r="P160" s="165"/>
      <c r="Q160" s="153"/>
      <c r="R160" s="174"/>
      <c r="S160" s="388"/>
      <c r="T160" s="569" t="s">
        <v>432</v>
      </c>
      <c r="U160" s="570" t="s">
        <v>62</v>
      </c>
      <c r="V160" s="617">
        <v>1</v>
      </c>
      <c r="W160" s="677">
        <v>0</v>
      </c>
      <c r="X160" s="575"/>
      <c r="Y160" s="572">
        <f t="shared" si="3"/>
        <v>1</v>
      </c>
    </row>
    <row r="161" spans="2:30" s="1" customFormat="1" ht="21" thickTop="1" thickBot="1" x14ac:dyDescent="0.3">
      <c r="B161" s="18"/>
      <c r="C161" s="40"/>
      <c r="D161" s="81"/>
      <c r="E161" s="300"/>
      <c r="F161" s="308"/>
      <c r="G161" s="110"/>
      <c r="H161" s="262"/>
      <c r="I161" s="265"/>
      <c r="J161" s="319"/>
      <c r="K161" s="320"/>
      <c r="L161" s="89" t="s">
        <v>184</v>
      </c>
      <c r="M161" s="253" t="s">
        <v>54</v>
      </c>
      <c r="N161" s="165"/>
      <c r="O161" s="153"/>
      <c r="P161" s="165"/>
      <c r="Q161" s="153"/>
      <c r="R161" s="396"/>
      <c r="S161" s="388"/>
      <c r="T161" s="122"/>
      <c r="U161" s="607" t="s">
        <v>184</v>
      </c>
      <c r="V161" s="620"/>
      <c r="W161" s="476"/>
      <c r="X161" s="476"/>
      <c r="Y161" s="136">
        <f t="shared" si="3"/>
        <v>0</v>
      </c>
    </row>
    <row r="162" spans="2:30" s="1" customFormat="1" ht="17" thickTop="1" thickBot="1" x14ac:dyDescent="0.3">
      <c r="B162" s="18"/>
      <c r="C162" s="40"/>
      <c r="D162" s="81"/>
      <c r="E162" s="300"/>
      <c r="F162" s="308"/>
      <c r="G162" s="110"/>
      <c r="H162" s="262"/>
      <c r="I162" s="266"/>
      <c r="J162" s="33" t="s">
        <v>271</v>
      </c>
      <c r="K162" s="76" t="s">
        <v>49</v>
      </c>
      <c r="L162" s="217"/>
      <c r="M162" s="218"/>
      <c r="N162" s="165"/>
      <c r="O162" s="153"/>
      <c r="P162" s="165"/>
      <c r="Q162" s="153"/>
      <c r="R162" s="400"/>
      <c r="S162" s="390"/>
      <c r="T162" s="102" t="s">
        <v>391</v>
      </c>
      <c r="U162" s="111" t="s">
        <v>271</v>
      </c>
      <c r="V162" s="621">
        <f>COUNTIF(J162:S167, "M")</f>
        <v>4</v>
      </c>
      <c r="W162" s="674">
        <f>COUNTIF(J162:S167, "Z")</f>
        <v>2</v>
      </c>
      <c r="X162" s="470"/>
      <c r="Y162" s="134">
        <f t="shared" si="3"/>
        <v>6</v>
      </c>
      <c r="Z162" s="4"/>
      <c r="AA162" s="4"/>
      <c r="AB162" s="4"/>
    </row>
    <row r="163" spans="2:30" s="1" customFormat="1" ht="17" thickTop="1" thickBot="1" x14ac:dyDescent="0.3">
      <c r="B163" s="18"/>
      <c r="C163" s="40"/>
      <c r="D163" s="81"/>
      <c r="E163" s="300"/>
      <c r="F163" s="308"/>
      <c r="G163" s="110"/>
      <c r="H163" s="262"/>
      <c r="I163" s="266"/>
      <c r="J163" s="33"/>
      <c r="K163" s="76"/>
      <c r="L163" s="69" t="s">
        <v>66</v>
      </c>
      <c r="M163" s="200" t="s">
        <v>50</v>
      </c>
      <c r="N163" s="162"/>
      <c r="O163" s="163"/>
      <c r="P163" s="162"/>
      <c r="Q163" s="163"/>
      <c r="R163" s="399"/>
      <c r="S163" s="388"/>
      <c r="T163" s="491"/>
      <c r="U163" s="492"/>
      <c r="V163" s="615"/>
      <c r="W163" s="664"/>
      <c r="X163" s="493"/>
      <c r="Y163" s="494"/>
    </row>
    <row r="164" spans="2:30" s="1" customFormat="1" ht="17" thickTop="1" thickBot="1" x14ac:dyDescent="0.3">
      <c r="B164" s="18"/>
      <c r="C164" s="40"/>
      <c r="D164" s="81"/>
      <c r="E164" s="300"/>
      <c r="F164" s="308"/>
      <c r="G164" s="110"/>
      <c r="H164" s="262"/>
      <c r="I164" s="266"/>
      <c r="J164" s="71"/>
      <c r="K164" s="76"/>
      <c r="L164" s="67" t="s">
        <v>67</v>
      </c>
      <c r="M164" s="200" t="s">
        <v>50</v>
      </c>
      <c r="N164" s="162"/>
      <c r="O164" s="163"/>
      <c r="P164" s="162"/>
      <c r="Q164" s="163"/>
      <c r="R164" s="407"/>
      <c r="S164" s="287"/>
      <c r="T164" s="513"/>
      <c r="U164" s="514"/>
      <c r="V164" s="616"/>
      <c r="W164" s="681"/>
      <c r="X164" s="515"/>
      <c r="Y164" s="516"/>
    </row>
    <row r="165" spans="2:30" s="1" customFormat="1" ht="17" thickTop="1" thickBot="1" x14ac:dyDescent="0.3">
      <c r="B165" s="18"/>
      <c r="C165" s="40"/>
      <c r="D165" s="81"/>
      <c r="E165" s="300"/>
      <c r="F165" s="308"/>
      <c r="G165" s="110"/>
      <c r="H165" s="262"/>
      <c r="I165" s="266"/>
      <c r="J165" s="71"/>
      <c r="K165" s="76"/>
      <c r="L165" s="313" t="s">
        <v>22</v>
      </c>
      <c r="M165" s="299" t="s">
        <v>49</v>
      </c>
      <c r="N165" s="164"/>
      <c r="O165" s="167"/>
      <c r="P165" s="165"/>
      <c r="Q165" s="153"/>
      <c r="R165" s="398"/>
      <c r="S165" s="391"/>
      <c r="T165" s="103" t="s">
        <v>433</v>
      </c>
      <c r="U165" s="576" t="s">
        <v>22</v>
      </c>
      <c r="V165" s="618">
        <f>COUNTIF(L165:S167, "M")</f>
        <v>3</v>
      </c>
      <c r="W165" s="678">
        <f>COUNTIF(L165:T167, "Z")</f>
        <v>0</v>
      </c>
      <c r="X165" s="577"/>
      <c r="Y165" s="129">
        <f t="shared" si="3"/>
        <v>3</v>
      </c>
      <c r="Z165" s="4"/>
      <c r="AA165" s="4"/>
      <c r="AB165" s="4"/>
      <c r="AC165" s="4"/>
      <c r="AD165" s="4"/>
    </row>
    <row r="166" spans="2:30" s="1" customFormat="1" ht="17" thickTop="1" thickBot="1" x14ac:dyDescent="0.3">
      <c r="B166" s="18"/>
      <c r="C166" s="40"/>
      <c r="D166" s="81"/>
      <c r="E166" s="300"/>
      <c r="F166" s="308"/>
      <c r="G166" s="110"/>
      <c r="H166" s="262"/>
      <c r="I166" s="266"/>
      <c r="J166" s="33"/>
      <c r="K166" s="76"/>
      <c r="L166" s="81"/>
      <c r="M166" s="314"/>
      <c r="N166" s="436" t="s">
        <v>68</v>
      </c>
      <c r="O166" s="437" t="s">
        <v>49</v>
      </c>
      <c r="P166" s="165"/>
      <c r="Q166" s="153"/>
      <c r="R166" s="396"/>
      <c r="S166" s="388"/>
      <c r="T166" s="569" t="s">
        <v>466</v>
      </c>
      <c r="U166" s="570" t="s">
        <v>68</v>
      </c>
      <c r="V166" s="617">
        <v>1</v>
      </c>
      <c r="W166" s="677">
        <v>0</v>
      </c>
      <c r="X166" s="575"/>
      <c r="Y166" s="572">
        <f t="shared" si="3"/>
        <v>1</v>
      </c>
    </row>
    <row r="167" spans="2:30" s="1" customFormat="1" ht="17" thickTop="1" thickBot="1" x14ac:dyDescent="0.3">
      <c r="B167" s="18"/>
      <c r="C167" s="40"/>
      <c r="D167" s="81"/>
      <c r="E167" s="300"/>
      <c r="F167" s="294"/>
      <c r="G167" s="110"/>
      <c r="H167" s="262"/>
      <c r="I167" s="266"/>
      <c r="J167" s="68"/>
      <c r="K167" s="201"/>
      <c r="L167" s="454"/>
      <c r="M167" s="455"/>
      <c r="N167" s="442" t="s">
        <v>274</v>
      </c>
      <c r="O167" s="437" t="s">
        <v>49</v>
      </c>
      <c r="P167" s="165"/>
      <c r="Q167" s="153"/>
      <c r="R167" s="396"/>
      <c r="S167" s="388"/>
      <c r="T167" s="569" t="s">
        <v>467</v>
      </c>
      <c r="U167" s="570" t="s">
        <v>274</v>
      </c>
      <c r="V167" s="617">
        <v>1</v>
      </c>
      <c r="W167" s="677">
        <v>0</v>
      </c>
      <c r="X167" s="575"/>
      <c r="Y167" s="572">
        <f t="shared" si="3"/>
        <v>1</v>
      </c>
    </row>
    <row r="168" spans="2:30" s="1" customFormat="1" ht="17" thickTop="1" thickBot="1" x14ac:dyDescent="0.3">
      <c r="B168" s="18"/>
      <c r="C168" s="40"/>
      <c r="D168" s="81"/>
      <c r="E168" s="300"/>
      <c r="F168" s="294"/>
      <c r="G168" s="110"/>
      <c r="H168" s="262"/>
      <c r="I168" s="266"/>
      <c r="J168" s="317" t="s">
        <v>37</v>
      </c>
      <c r="K168" s="318" t="s">
        <v>49</v>
      </c>
      <c r="L168" s="254"/>
      <c r="M168" s="255"/>
      <c r="N168" s="241"/>
      <c r="O168" s="242"/>
      <c r="P168" s="165"/>
      <c r="Q168" s="153"/>
      <c r="R168" s="400"/>
      <c r="S168" s="390"/>
      <c r="T168" s="547" t="s">
        <v>392</v>
      </c>
      <c r="U168" s="573" t="s">
        <v>37</v>
      </c>
      <c r="V168" s="619">
        <f>COUNTIF(J168:S170, "M")</f>
        <v>2</v>
      </c>
      <c r="W168" s="675">
        <f>COUNTIF(J168:S170, "Z")</f>
        <v>1</v>
      </c>
      <c r="X168" s="574"/>
      <c r="Y168" s="550">
        <f t="shared" si="3"/>
        <v>3</v>
      </c>
      <c r="Z168" s="4"/>
      <c r="AA168" s="4"/>
    </row>
    <row r="169" spans="2:30" s="1" customFormat="1" ht="24" thickTop="1" thickBot="1" x14ac:dyDescent="0.3">
      <c r="B169" s="18"/>
      <c r="C169" s="40"/>
      <c r="D169" s="81"/>
      <c r="E169" s="300"/>
      <c r="F169" s="308"/>
      <c r="G169" s="110"/>
      <c r="H169" s="262" t="s">
        <v>272</v>
      </c>
      <c r="I169" s="266"/>
      <c r="J169" s="303"/>
      <c r="K169" s="318"/>
      <c r="L169" s="438" t="s">
        <v>275</v>
      </c>
      <c r="M169" s="437" t="s">
        <v>49</v>
      </c>
      <c r="N169" s="165"/>
      <c r="O169" s="153"/>
      <c r="P169" s="165"/>
      <c r="Q169" s="153"/>
      <c r="R169" s="396"/>
      <c r="S169" s="388"/>
      <c r="T169" s="569" t="s">
        <v>434</v>
      </c>
      <c r="U169" s="570" t="s">
        <v>275</v>
      </c>
      <c r="V169" s="617">
        <v>1</v>
      </c>
      <c r="W169" s="677">
        <v>0</v>
      </c>
      <c r="X169" s="575"/>
      <c r="Y169" s="572">
        <f t="shared" si="3"/>
        <v>1</v>
      </c>
      <c r="AB169" s="19"/>
      <c r="AC169" s="19"/>
      <c r="AD169" s="19"/>
    </row>
    <row r="170" spans="2:30" s="1" customFormat="1" ht="17" thickTop="1" thickBot="1" x14ac:dyDescent="0.3">
      <c r="B170" s="18"/>
      <c r="C170" s="40"/>
      <c r="D170" s="81"/>
      <c r="E170" s="300"/>
      <c r="F170" s="308"/>
      <c r="G170" s="110"/>
      <c r="H170" s="262"/>
      <c r="I170" s="266"/>
      <c r="J170" s="319"/>
      <c r="K170" s="320"/>
      <c r="L170" s="75" t="s">
        <v>69</v>
      </c>
      <c r="M170" s="200" t="s">
        <v>50</v>
      </c>
      <c r="N170" s="162"/>
      <c r="O170" s="163"/>
      <c r="P170" s="162"/>
      <c r="Q170" s="163"/>
      <c r="R170" s="399"/>
      <c r="S170" s="388"/>
      <c r="T170" s="467"/>
      <c r="U170" s="468"/>
      <c r="V170" s="613"/>
      <c r="W170" s="676"/>
      <c r="X170" s="475"/>
      <c r="Y170" s="469"/>
    </row>
    <row r="171" spans="2:30" s="1" customFormat="1" ht="17" thickTop="1" thickBot="1" x14ac:dyDescent="0.3">
      <c r="B171" s="18"/>
      <c r="C171" s="40"/>
      <c r="D171" s="81"/>
      <c r="E171" s="300"/>
      <c r="F171" s="308"/>
      <c r="G171" s="110"/>
      <c r="H171" s="262"/>
      <c r="I171" s="266"/>
      <c r="J171" s="321" t="s">
        <v>38</v>
      </c>
      <c r="K171" s="299" t="s">
        <v>49</v>
      </c>
      <c r="L171" s="217"/>
      <c r="M171" s="218"/>
      <c r="N171" s="246"/>
      <c r="O171" s="247"/>
      <c r="P171" s="165"/>
      <c r="Q171" s="153"/>
      <c r="R171" s="400"/>
      <c r="S171" s="390"/>
      <c r="T171" s="103" t="s">
        <v>393</v>
      </c>
      <c r="U171" s="576" t="s">
        <v>38</v>
      </c>
      <c r="V171" s="618">
        <f>COUNTIF(J171:S175, "M")</f>
        <v>4</v>
      </c>
      <c r="W171" s="678">
        <f>COUNTIF(J171:S175, "Z")</f>
        <v>1</v>
      </c>
      <c r="X171" s="577"/>
      <c r="Y171" s="129">
        <f t="shared" si="3"/>
        <v>5</v>
      </c>
      <c r="Z171" s="4"/>
    </row>
    <row r="172" spans="2:30" s="1" customFormat="1" ht="17" thickTop="1" thickBot="1" x14ac:dyDescent="0.3">
      <c r="B172" s="18"/>
      <c r="C172" s="40"/>
      <c r="D172" s="81"/>
      <c r="E172" s="300"/>
      <c r="F172" s="308"/>
      <c r="G172" s="110"/>
      <c r="H172" s="262"/>
      <c r="I172" s="266"/>
      <c r="J172" s="321"/>
      <c r="K172" s="299"/>
      <c r="L172" s="65" t="s">
        <v>84</v>
      </c>
      <c r="M172" s="259" t="s">
        <v>49</v>
      </c>
      <c r="N172" s="283"/>
      <c r="O172" s="284"/>
      <c r="P172" s="162"/>
      <c r="Q172" s="163"/>
      <c r="R172" s="399"/>
      <c r="S172" s="388"/>
      <c r="T172" s="102" t="s">
        <v>435</v>
      </c>
      <c r="U172" s="111" t="s">
        <v>154</v>
      </c>
      <c r="V172" s="621">
        <f>COUNTIF(L172:S173, "M")</f>
        <v>1</v>
      </c>
      <c r="W172" s="674">
        <f>COUNTIF(L172:S173, "Z")</f>
        <v>1</v>
      </c>
      <c r="X172" s="470"/>
      <c r="Y172" s="134">
        <f t="shared" si="3"/>
        <v>2</v>
      </c>
    </row>
    <row r="173" spans="2:30" s="1" customFormat="1" ht="24" thickTop="1" thickBot="1" x14ac:dyDescent="0.3">
      <c r="B173" s="18"/>
      <c r="C173" s="40"/>
      <c r="D173" s="81"/>
      <c r="E173" s="300"/>
      <c r="F173" s="308"/>
      <c r="G173" s="110"/>
      <c r="H173" s="262"/>
      <c r="I173" s="266"/>
      <c r="J173" s="321"/>
      <c r="K173" s="299"/>
      <c r="L173" s="261"/>
      <c r="M173" s="277"/>
      <c r="N173" s="368" t="s">
        <v>206</v>
      </c>
      <c r="O173" s="200" t="s">
        <v>50</v>
      </c>
      <c r="P173" s="162"/>
      <c r="Q173" s="163"/>
      <c r="R173" s="399"/>
      <c r="S173" s="388"/>
      <c r="T173" s="467"/>
      <c r="U173" s="468"/>
      <c r="V173" s="613"/>
      <c r="W173" s="676"/>
      <c r="X173" s="475"/>
      <c r="Y173" s="469"/>
    </row>
    <row r="174" spans="2:30" s="1" customFormat="1" ht="17" thickTop="1" thickBot="1" x14ac:dyDescent="0.3">
      <c r="B174" s="18"/>
      <c r="C174" s="40"/>
      <c r="D174" s="81"/>
      <c r="E174" s="300"/>
      <c r="F174" s="308"/>
      <c r="G174" s="110"/>
      <c r="H174" s="262"/>
      <c r="I174" s="266"/>
      <c r="J174" s="321"/>
      <c r="K174" s="299"/>
      <c r="L174" s="436" t="s">
        <v>85</v>
      </c>
      <c r="M174" s="437" t="s">
        <v>49</v>
      </c>
      <c r="N174" s="215"/>
      <c r="O174" s="216"/>
      <c r="P174" s="165"/>
      <c r="Q174" s="153"/>
      <c r="R174" s="396"/>
      <c r="S174" s="388"/>
      <c r="T174" s="569" t="s">
        <v>436</v>
      </c>
      <c r="U174" s="570" t="s">
        <v>52</v>
      </c>
      <c r="V174" s="617">
        <v>1</v>
      </c>
      <c r="W174" s="677">
        <v>0</v>
      </c>
      <c r="X174" s="575"/>
      <c r="Y174" s="572">
        <f t="shared" si="3"/>
        <v>1</v>
      </c>
    </row>
    <row r="175" spans="2:30" s="1" customFormat="1" ht="27.5" thickTop="1" thickBot="1" x14ac:dyDescent="0.3">
      <c r="B175" s="18" t="s">
        <v>129</v>
      </c>
      <c r="C175" s="40"/>
      <c r="D175" s="81" t="s">
        <v>130</v>
      </c>
      <c r="E175" s="300"/>
      <c r="F175" s="294" t="s">
        <v>270</v>
      </c>
      <c r="G175" s="110"/>
      <c r="H175" s="262"/>
      <c r="I175" s="266"/>
      <c r="J175" s="84"/>
      <c r="K175" s="322"/>
      <c r="L175" s="436" t="s">
        <v>86</v>
      </c>
      <c r="M175" s="437" t="s">
        <v>49</v>
      </c>
      <c r="N175" s="165"/>
      <c r="O175" s="153"/>
      <c r="P175" s="165"/>
      <c r="Q175" s="153"/>
      <c r="R175" s="396"/>
      <c r="S175" s="388"/>
      <c r="T175" s="569" t="s">
        <v>437</v>
      </c>
      <c r="U175" s="570" t="s">
        <v>25</v>
      </c>
      <c r="V175" s="617">
        <v>1</v>
      </c>
      <c r="W175" s="677">
        <v>0</v>
      </c>
      <c r="X175" s="575"/>
      <c r="Y175" s="572">
        <f t="shared" si="3"/>
        <v>1</v>
      </c>
    </row>
    <row r="176" spans="2:30" s="1" customFormat="1" ht="17" thickTop="1" thickBot="1" x14ac:dyDescent="0.3">
      <c r="B176" s="18"/>
      <c r="C176" s="40"/>
      <c r="D176" s="81"/>
      <c r="E176" s="300"/>
      <c r="F176" s="308"/>
      <c r="G176" s="110"/>
      <c r="H176" s="264"/>
      <c r="I176" s="266"/>
      <c r="J176" s="67" t="s">
        <v>39</v>
      </c>
      <c r="K176" s="200" t="s">
        <v>50</v>
      </c>
      <c r="L176" s="192"/>
      <c r="M176" s="193"/>
      <c r="N176" s="162"/>
      <c r="O176" s="163"/>
      <c r="P176" s="162"/>
      <c r="Q176" s="163"/>
      <c r="R176" s="399"/>
      <c r="S176" s="388"/>
      <c r="T176" s="467"/>
      <c r="U176" s="468"/>
      <c r="V176" s="613"/>
      <c r="W176" s="676"/>
      <c r="X176" s="475"/>
      <c r="Y176" s="469"/>
    </row>
    <row r="177" spans="1:29" s="1" customFormat="1" ht="47.5" customHeight="1" thickTop="1" thickBot="1" x14ac:dyDescent="0.3">
      <c r="B177" s="18"/>
      <c r="C177" s="40"/>
      <c r="D177" s="81"/>
      <c r="E177" s="300"/>
      <c r="F177" s="308"/>
      <c r="G177" s="110"/>
      <c r="H177" s="57" t="s">
        <v>494</v>
      </c>
      <c r="I177" s="704" t="s">
        <v>49</v>
      </c>
      <c r="J177" s="182"/>
      <c r="K177" s="183"/>
      <c r="L177" s="212"/>
      <c r="M177" s="177"/>
      <c r="N177" s="165"/>
      <c r="O177" s="153"/>
      <c r="P177" s="165"/>
      <c r="Q177" s="153"/>
      <c r="R177" s="400"/>
      <c r="S177" s="390"/>
      <c r="T177" s="547" t="s">
        <v>354</v>
      </c>
      <c r="U177" s="548" t="s">
        <v>148</v>
      </c>
      <c r="V177" s="622">
        <f>COUNTIF(H177:S186, "M")</f>
        <v>7</v>
      </c>
      <c r="W177" s="656">
        <f>COUNTIF(H177:S186, "Z")</f>
        <v>3</v>
      </c>
      <c r="X177" s="549"/>
      <c r="Y177" s="550">
        <f t="shared" si="3"/>
        <v>10</v>
      </c>
      <c r="Z177" s="4"/>
      <c r="AA177" s="4"/>
    </row>
    <row r="178" spans="1:29" s="1" customFormat="1" ht="17" thickTop="1" thickBot="1" x14ac:dyDescent="0.3">
      <c r="B178" s="18"/>
      <c r="C178" s="40"/>
      <c r="D178" s="81"/>
      <c r="E178" s="300"/>
      <c r="F178" s="308"/>
      <c r="G178" s="110"/>
      <c r="H178" s="57"/>
      <c r="I178" s="60"/>
      <c r="J178" s="67" t="s">
        <v>276</v>
      </c>
      <c r="K178" s="200" t="s">
        <v>50</v>
      </c>
      <c r="L178" s="194"/>
      <c r="M178" s="175"/>
      <c r="N178" s="162"/>
      <c r="O178" s="163"/>
      <c r="P178" s="162"/>
      <c r="Q178" s="163"/>
      <c r="R178" s="399"/>
      <c r="S178" s="388"/>
      <c r="T178" s="491"/>
      <c r="U178" s="492"/>
      <c r="V178" s="615"/>
      <c r="W178" s="664"/>
      <c r="X178" s="493"/>
      <c r="Y178" s="494"/>
    </row>
    <row r="179" spans="1:29" s="1" customFormat="1" ht="24" thickTop="1" thickBot="1" x14ac:dyDescent="0.3">
      <c r="B179" s="18"/>
      <c r="C179" s="40"/>
      <c r="D179" s="81"/>
      <c r="E179" s="300"/>
      <c r="F179" s="308"/>
      <c r="G179" s="110"/>
      <c r="H179" s="57"/>
      <c r="I179" s="60"/>
      <c r="J179" s="67" t="s">
        <v>277</v>
      </c>
      <c r="K179" s="200" t="s">
        <v>50</v>
      </c>
      <c r="L179" s="194"/>
      <c r="M179" s="175"/>
      <c r="N179" s="162"/>
      <c r="O179" s="163"/>
      <c r="P179" s="162"/>
      <c r="Q179" s="163"/>
      <c r="R179" s="407"/>
      <c r="S179" s="388"/>
      <c r="T179" s="513"/>
      <c r="U179" s="514"/>
      <c r="V179" s="616"/>
      <c r="W179" s="681"/>
      <c r="X179" s="515"/>
      <c r="Y179" s="516"/>
    </row>
    <row r="180" spans="1:29" s="1" customFormat="1" ht="17" thickTop="1" thickBot="1" x14ac:dyDescent="0.3">
      <c r="B180" s="18"/>
      <c r="C180" s="40"/>
      <c r="D180" s="81"/>
      <c r="E180" s="300"/>
      <c r="F180" s="308"/>
      <c r="G180" s="110"/>
      <c r="H180" s="57"/>
      <c r="I180" s="60"/>
      <c r="J180" s="436" t="s">
        <v>278</v>
      </c>
      <c r="K180" s="437" t="s">
        <v>49</v>
      </c>
      <c r="L180" s="194"/>
      <c r="M180" s="175"/>
      <c r="N180" s="162"/>
      <c r="O180" s="163"/>
      <c r="P180" s="162"/>
      <c r="Q180" s="163"/>
      <c r="R180" s="387"/>
      <c r="S180" s="388"/>
      <c r="T180" s="569" t="s">
        <v>394</v>
      </c>
      <c r="U180" s="570" t="s">
        <v>279</v>
      </c>
      <c r="V180" s="617">
        <v>1</v>
      </c>
      <c r="W180" s="677">
        <v>0</v>
      </c>
      <c r="X180" s="575"/>
      <c r="Y180" s="572">
        <f t="shared" si="3"/>
        <v>1</v>
      </c>
    </row>
    <row r="181" spans="1:29" s="1" customFormat="1" ht="39.5" customHeight="1" thickTop="1" thickBot="1" x14ac:dyDescent="0.3">
      <c r="B181" s="18"/>
      <c r="C181" s="40"/>
      <c r="D181" s="81"/>
      <c r="E181" s="300"/>
      <c r="F181" s="308"/>
      <c r="G181" s="110"/>
      <c r="H181" s="57"/>
      <c r="I181" s="60"/>
      <c r="J181" s="294" t="s">
        <v>280</v>
      </c>
      <c r="K181" s="711" t="s">
        <v>49</v>
      </c>
      <c r="L181" s="213"/>
      <c r="M181" s="177"/>
      <c r="N181" s="165"/>
      <c r="O181" s="153"/>
      <c r="P181" s="165"/>
      <c r="Q181" s="153"/>
      <c r="R181" s="405"/>
      <c r="S181" s="390"/>
      <c r="T181" s="102" t="s">
        <v>395</v>
      </c>
      <c r="U181" s="111" t="s">
        <v>149</v>
      </c>
      <c r="V181" s="621">
        <f>COUNTIF(J181:S185, "M")</f>
        <v>4</v>
      </c>
      <c r="W181" s="674">
        <f>COUNTIF(J181:S185, "Z")</f>
        <v>1</v>
      </c>
      <c r="X181" s="470"/>
      <c r="Y181" s="134">
        <f t="shared" si="3"/>
        <v>5</v>
      </c>
      <c r="Z181" s="4"/>
      <c r="AA181" s="4"/>
    </row>
    <row r="182" spans="1:29" s="1" customFormat="1" ht="24" thickTop="1" thickBot="1" x14ac:dyDescent="0.3">
      <c r="B182" s="18"/>
      <c r="C182" s="40"/>
      <c r="D182" s="81"/>
      <c r="E182" s="300"/>
      <c r="F182" s="308"/>
      <c r="G182" s="110"/>
      <c r="H182" s="57"/>
      <c r="I182" s="59"/>
      <c r="J182" s="294"/>
      <c r="K182" s="260"/>
      <c r="L182" s="67" t="s">
        <v>281</v>
      </c>
      <c r="M182" s="200" t="s">
        <v>50</v>
      </c>
      <c r="N182" s="162"/>
      <c r="O182" s="163"/>
      <c r="P182" s="162"/>
      <c r="Q182" s="163"/>
      <c r="R182" s="387"/>
      <c r="S182" s="409"/>
      <c r="T182" s="467"/>
      <c r="U182" s="468"/>
      <c r="V182" s="623"/>
      <c r="W182" s="676"/>
      <c r="X182" s="475"/>
      <c r="Y182" s="469"/>
    </row>
    <row r="183" spans="1:29" s="1" customFormat="1" ht="35.5" thickTop="1" thickBot="1" x14ac:dyDescent="0.3">
      <c r="B183" s="18"/>
      <c r="C183" s="40"/>
      <c r="D183" s="81"/>
      <c r="E183" s="300"/>
      <c r="F183" s="308"/>
      <c r="G183" s="110"/>
      <c r="H183" s="57"/>
      <c r="I183" s="59"/>
      <c r="J183" s="294"/>
      <c r="K183" s="260"/>
      <c r="L183" s="334" t="s">
        <v>282</v>
      </c>
      <c r="M183" s="705" t="s">
        <v>49</v>
      </c>
      <c r="N183" s="355"/>
      <c r="O183" s="167"/>
      <c r="P183" s="165"/>
      <c r="Q183" s="153"/>
      <c r="R183" s="398"/>
      <c r="S183" s="410"/>
      <c r="T183" s="106" t="s">
        <v>438</v>
      </c>
      <c r="U183" s="109" t="s">
        <v>151</v>
      </c>
      <c r="V183" s="624">
        <f>COUNTIF(L183:S185, "M")</f>
        <v>3</v>
      </c>
      <c r="W183" s="680">
        <f>COUNTIF(L183:S185, "Z")</f>
        <v>0</v>
      </c>
      <c r="X183" s="474"/>
      <c r="Y183" s="133">
        <f t="shared" si="3"/>
        <v>3</v>
      </c>
      <c r="Z183" s="4"/>
      <c r="AA183" s="4"/>
      <c r="AB183" s="4"/>
    </row>
    <row r="184" spans="1:29" s="1" customFormat="1" ht="17" thickTop="1" thickBot="1" x14ac:dyDescent="0.3">
      <c r="B184" s="18"/>
      <c r="C184" s="40"/>
      <c r="D184" s="81"/>
      <c r="E184" s="300"/>
      <c r="F184" s="308"/>
      <c r="G184" s="110"/>
      <c r="H184" s="57"/>
      <c r="I184" s="60"/>
      <c r="J184" s="294"/>
      <c r="K184" s="260"/>
      <c r="L184" s="262"/>
      <c r="M184" s="263"/>
      <c r="N184" s="442" t="s">
        <v>109</v>
      </c>
      <c r="O184" s="437" t="s">
        <v>49</v>
      </c>
      <c r="P184" s="165"/>
      <c r="Q184" s="153"/>
      <c r="R184" s="396"/>
      <c r="S184" s="388"/>
      <c r="T184" s="569" t="s">
        <v>468</v>
      </c>
      <c r="U184" s="570" t="s">
        <v>152</v>
      </c>
      <c r="V184" s="617">
        <v>1</v>
      </c>
      <c r="W184" s="677">
        <v>0</v>
      </c>
      <c r="X184" s="575"/>
      <c r="Y184" s="572">
        <f t="shared" si="3"/>
        <v>1</v>
      </c>
    </row>
    <row r="185" spans="1:29" s="1" customFormat="1" ht="17" thickTop="1" thickBot="1" x14ac:dyDescent="0.3">
      <c r="B185" s="18"/>
      <c r="C185" s="40"/>
      <c r="D185" s="81"/>
      <c r="E185" s="300"/>
      <c r="F185" s="308"/>
      <c r="G185" s="110"/>
      <c r="H185" s="57"/>
      <c r="I185" s="60"/>
      <c r="J185" s="323"/>
      <c r="K185" s="260"/>
      <c r="L185" s="264"/>
      <c r="M185" s="335"/>
      <c r="N185" s="442" t="s">
        <v>110</v>
      </c>
      <c r="O185" s="437" t="s">
        <v>49</v>
      </c>
      <c r="P185" s="165"/>
      <c r="Q185" s="153"/>
      <c r="R185" s="396"/>
      <c r="S185" s="388"/>
      <c r="T185" s="569" t="s">
        <v>469</v>
      </c>
      <c r="U185" s="570" t="s">
        <v>153</v>
      </c>
      <c r="V185" s="617">
        <v>1</v>
      </c>
      <c r="W185" s="677">
        <v>0</v>
      </c>
      <c r="X185" s="575"/>
      <c r="Y185" s="572">
        <f t="shared" si="3"/>
        <v>1</v>
      </c>
    </row>
    <row r="186" spans="1:29" s="1" customFormat="1" ht="17" thickTop="1" thickBot="1" x14ac:dyDescent="0.3">
      <c r="B186" s="18"/>
      <c r="C186" s="40"/>
      <c r="D186" s="81"/>
      <c r="E186" s="300"/>
      <c r="F186" s="308"/>
      <c r="G186" s="110"/>
      <c r="H186" s="58"/>
      <c r="I186" s="60"/>
      <c r="J186" s="436" t="s">
        <v>93</v>
      </c>
      <c r="K186" s="437" t="s">
        <v>49</v>
      </c>
      <c r="L186" s="207"/>
      <c r="M186" s="208"/>
      <c r="N186" s="192"/>
      <c r="O186" s="193"/>
      <c r="P186" s="162"/>
      <c r="Q186" s="163"/>
      <c r="R186" s="399"/>
      <c r="S186" s="388"/>
      <c r="T186" s="569" t="s">
        <v>396</v>
      </c>
      <c r="U186" s="570" t="s">
        <v>150</v>
      </c>
      <c r="V186" s="617">
        <v>1</v>
      </c>
      <c r="W186" s="677">
        <v>0</v>
      </c>
      <c r="X186" s="575"/>
      <c r="Y186" s="572">
        <f t="shared" si="3"/>
        <v>1</v>
      </c>
    </row>
    <row r="187" spans="1:29" s="1" customFormat="1" ht="49.5" customHeight="1" thickTop="1" thickBot="1" x14ac:dyDescent="0.3">
      <c r="A187" s="20"/>
      <c r="B187" s="18"/>
      <c r="C187" s="40"/>
      <c r="D187" s="81"/>
      <c r="E187" s="300"/>
      <c r="F187" s="308"/>
      <c r="G187" s="110"/>
      <c r="H187" s="311" t="s">
        <v>495</v>
      </c>
      <c r="I187" s="715" t="s">
        <v>49</v>
      </c>
      <c r="J187" s="217"/>
      <c r="K187" s="218"/>
      <c r="L187" s="165"/>
      <c r="M187" s="153"/>
      <c r="N187" s="212"/>
      <c r="O187" s="177"/>
      <c r="P187" s="165"/>
      <c r="Q187" s="153"/>
      <c r="R187" s="400"/>
      <c r="S187" s="390"/>
      <c r="T187" s="103" t="s">
        <v>355</v>
      </c>
      <c r="U187" s="104" t="s">
        <v>147</v>
      </c>
      <c r="V187" s="625">
        <f>COUNTIF(H187:S228, "M")</f>
        <v>27</v>
      </c>
      <c r="W187" s="654">
        <f>COUNTIF(H187:S228, "Z")</f>
        <v>15</v>
      </c>
      <c r="X187" s="105"/>
      <c r="Y187" s="129">
        <f t="shared" si="3"/>
        <v>42</v>
      </c>
      <c r="Z187" s="4"/>
      <c r="AA187" s="4"/>
      <c r="AB187" s="4"/>
    </row>
    <row r="188" spans="1:29" s="1" customFormat="1" ht="27.5" thickTop="1" thickBot="1" x14ac:dyDescent="0.3">
      <c r="A188" s="20"/>
      <c r="B188" s="18" t="s">
        <v>129</v>
      </c>
      <c r="C188" s="40"/>
      <c r="D188" s="81" t="s">
        <v>130</v>
      </c>
      <c r="E188" s="300"/>
      <c r="F188" s="294" t="s">
        <v>270</v>
      </c>
      <c r="G188" s="110"/>
      <c r="H188" s="311"/>
      <c r="I188" s="299"/>
      <c r="J188" s="67" t="s">
        <v>283</v>
      </c>
      <c r="K188" s="211" t="s">
        <v>50</v>
      </c>
      <c r="L188" s="162"/>
      <c r="M188" s="163"/>
      <c r="N188" s="194"/>
      <c r="O188" s="175"/>
      <c r="P188" s="162"/>
      <c r="Q188" s="163"/>
      <c r="R188" s="399"/>
      <c r="S188" s="388"/>
      <c r="T188" s="467"/>
      <c r="U188" s="468"/>
      <c r="V188" s="613"/>
      <c r="W188" s="676"/>
      <c r="X188" s="475"/>
      <c r="Y188" s="469"/>
    </row>
    <row r="189" spans="1:29" s="1" customFormat="1" ht="35.5" thickTop="1" thickBot="1" x14ac:dyDescent="0.3">
      <c r="B189" s="18"/>
      <c r="C189" s="40"/>
      <c r="D189" s="81"/>
      <c r="E189" s="300"/>
      <c r="F189" s="308"/>
      <c r="G189" s="110"/>
      <c r="H189" s="81"/>
      <c r="I189" s="300"/>
      <c r="J189" s="33" t="s">
        <v>284</v>
      </c>
      <c r="K189" s="712" t="s">
        <v>49</v>
      </c>
      <c r="L189" s="209"/>
      <c r="M189" s="210"/>
      <c r="N189" s="212"/>
      <c r="O189" s="177"/>
      <c r="P189" s="165"/>
      <c r="Q189" s="153"/>
      <c r="R189" s="400"/>
      <c r="S189" s="390"/>
      <c r="T189" s="102" t="s">
        <v>397</v>
      </c>
      <c r="U189" s="111" t="s">
        <v>145</v>
      </c>
      <c r="V189" s="621">
        <f>COUNTIF(J189:S200, "M")</f>
        <v>9</v>
      </c>
      <c r="W189" s="674">
        <f>COUNTIF(J189:S200, "Z")</f>
        <v>3</v>
      </c>
      <c r="X189" s="470"/>
      <c r="Y189" s="134">
        <f t="shared" si="3"/>
        <v>12</v>
      </c>
      <c r="Z189" s="4"/>
      <c r="AA189" s="4"/>
    </row>
    <row r="190" spans="1:29" s="1" customFormat="1" ht="24" thickTop="1" thickBot="1" x14ac:dyDescent="0.3">
      <c r="B190" s="18"/>
      <c r="C190" s="40"/>
      <c r="D190" s="81"/>
      <c r="E190" s="300"/>
      <c r="F190" s="308"/>
      <c r="G190" s="110"/>
      <c r="H190" s="81"/>
      <c r="I190" s="300"/>
      <c r="J190" s="33"/>
      <c r="K190" s="76"/>
      <c r="L190" s="67" t="s">
        <v>285</v>
      </c>
      <c r="M190" s="200" t="s">
        <v>50</v>
      </c>
      <c r="N190" s="194"/>
      <c r="O190" s="175"/>
      <c r="P190" s="162"/>
      <c r="Q190" s="163"/>
      <c r="R190" s="399"/>
      <c r="S190" s="388"/>
      <c r="T190" s="467"/>
      <c r="U190" s="468"/>
      <c r="V190" s="613"/>
      <c r="W190" s="676"/>
      <c r="X190" s="475"/>
      <c r="Y190" s="469"/>
    </row>
    <row r="191" spans="1:29" s="1" customFormat="1" ht="35.5" thickTop="1" thickBot="1" x14ac:dyDescent="0.3">
      <c r="B191" s="18"/>
      <c r="C191" s="40"/>
      <c r="D191" s="81"/>
      <c r="E191" s="300"/>
      <c r="F191" s="308"/>
      <c r="G191" s="110"/>
      <c r="H191" s="81"/>
      <c r="I191" s="300"/>
      <c r="J191" s="33"/>
      <c r="K191" s="76"/>
      <c r="L191" s="303" t="s">
        <v>509</v>
      </c>
      <c r="M191" s="702" t="s">
        <v>49</v>
      </c>
      <c r="N191" s="212"/>
      <c r="O191" s="177"/>
      <c r="P191" s="165"/>
      <c r="Q191" s="153"/>
      <c r="R191" s="411"/>
      <c r="S191" s="397"/>
      <c r="T191" s="547" t="s">
        <v>439</v>
      </c>
      <c r="U191" s="548" t="s">
        <v>230</v>
      </c>
      <c r="V191" s="619">
        <f>COUNTIF(L191:S196, "M")</f>
        <v>5</v>
      </c>
      <c r="W191" s="675">
        <f>COUNTIF(L191:T196, "Z")</f>
        <v>1</v>
      </c>
      <c r="X191" s="574"/>
      <c r="Y191" s="550">
        <f t="shared" si="3"/>
        <v>6</v>
      </c>
      <c r="Z191" s="4"/>
      <c r="AA191" s="4"/>
      <c r="AB191" s="4"/>
      <c r="AC191" s="4"/>
    </row>
    <row r="192" spans="1:29" s="1" customFormat="1" ht="23.5" thickTop="1" x14ac:dyDescent="0.25">
      <c r="B192" s="18"/>
      <c r="C192" s="40"/>
      <c r="D192" s="81"/>
      <c r="E192" s="300"/>
      <c r="F192" s="308"/>
      <c r="G192" s="110"/>
      <c r="H192" s="81"/>
      <c r="I192" s="300"/>
      <c r="J192" s="33"/>
      <c r="K192" s="76"/>
      <c r="L192" s="303"/>
      <c r="M192" s="304"/>
      <c r="N192" s="46" t="s">
        <v>107</v>
      </c>
      <c r="O192" s="703" t="s">
        <v>49</v>
      </c>
      <c r="P192" s="353"/>
      <c r="Q192" s="373"/>
      <c r="R192" s="412"/>
      <c r="S192" s="391"/>
      <c r="T192" s="106" t="s">
        <v>470</v>
      </c>
      <c r="U192" s="109" t="s">
        <v>146</v>
      </c>
      <c r="V192" s="624">
        <f>COUNTIF(N192:S193, "M")</f>
        <v>2</v>
      </c>
      <c r="W192" s="680">
        <f>COUNTIF(N192:S193, "Z")</f>
        <v>0</v>
      </c>
      <c r="X192" s="474"/>
      <c r="Y192" s="133">
        <f t="shared" si="3"/>
        <v>2</v>
      </c>
      <c r="Z192" s="4"/>
    </row>
    <row r="193" spans="1:28" s="1" customFormat="1" ht="16" x14ac:dyDescent="0.25">
      <c r="B193" s="18"/>
      <c r="C193" s="40"/>
      <c r="D193" s="81"/>
      <c r="E193" s="300"/>
      <c r="F193" s="308"/>
      <c r="G193" s="110"/>
      <c r="H193" s="81"/>
      <c r="I193" s="300"/>
      <c r="J193" s="33"/>
      <c r="K193" s="76"/>
      <c r="L193" s="303"/>
      <c r="M193" s="304"/>
      <c r="N193" s="45"/>
      <c r="O193" s="49"/>
      <c r="P193" s="463" t="s">
        <v>108</v>
      </c>
      <c r="Q193" s="717" t="s">
        <v>49</v>
      </c>
      <c r="R193" s="413"/>
      <c r="S193" s="388"/>
      <c r="T193" s="547" t="s">
        <v>483</v>
      </c>
      <c r="U193" s="573" t="s">
        <v>286</v>
      </c>
      <c r="V193" s="619">
        <v>1</v>
      </c>
      <c r="W193" s="675">
        <v>0</v>
      </c>
      <c r="X193" s="574"/>
      <c r="Y193" s="550">
        <f t="shared" si="3"/>
        <v>1</v>
      </c>
    </row>
    <row r="194" spans="1:28" s="20" customFormat="1" ht="23" x14ac:dyDescent="0.25">
      <c r="A194" s="1"/>
      <c r="B194" s="21"/>
      <c r="C194" s="40"/>
      <c r="D194" s="311"/>
      <c r="E194" s="432"/>
      <c r="F194" s="309"/>
      <c r="G194" s="110"/>
      <c r="H194" s="81"/>
      <c r="I194" s="300"/>
      <c r="J194" s="33"/>
      <c r="K194" s="76"/>
      <c r="L194" s="303"/>
      <c r="M194" s="304"/>
      <c r="N194" s="329" t="s">
        <v>287</v>
      </c>
      <c r="O194" s="707" t="s">
        <v>49</v>
      </c>
      <c r="P194" s="376"/>
      <c r="Q194" s="377"/>
      <c r="R194" s="414"/>
      <c r="S194" s="388"/>
      <c r="T194" s="102" t="s">
        <v>471</v>
      </c>
      <c r="U194" s="111" t="s">
        <v>249</v>
      </c>
      <c r="V194" s="621">
        <f>COUNTIF(N194:S196, "M")</f>
        <v>2</v>
      </c>
      <c r="W194" s="674">
        <f>COUNTIF(N194:S196, "Z")</f>
        <v>1</v>
      </c>
      <c r="X194" s="470"/>
      <c r="Y194" s="134">
        <f t="shared" si="3"/>
        <v>3</v>
      </c>
      <c r="Z194" s="1"/>
    </row>
    <row r="195" spans="1:28" s="20" customFormat="1" ht="16" x14ac:dyDescent="0.25">
      <c r="A195" s="1"/>
      <c r="B195" s="21"/>
      <c r="C195" s="40"/>
      <c r="D195" s="311"/>
      <c r="E195" s="432"/>
      <c r="F195" s="309"/>
      <c r="G195" s="110"/>
      <c r="H195" s="81"/>
      <c r="I195" s="300"/>
      <c r="J195" s="33"/>
      <c r="K195" s="76"/>
      <c r="L195" s="303"/>
      <c r="M195" s="304"/>
      <c r="N195" s="294"/>
      <c r="O195" s="330"/>
      <c r="P195" s="464" t="s">
        <v>111</v>
      </c>
      <c r="Q195" s="465" t="s">
        <v>49</v>
      </c>
      <c r="R195" s="414"/>
      <c r="S195" s="388"/>
      <c r="T195" s="103" t="s">
        <v>484</v>
      </c>
      <c r="U195" s="576" t="s">
        <v>68</v>
      </c>
      <c r="V195" s="618">
        <v>1</v>
      </c>
      <c r="W195" s="678">
        <v>0</v>
      </c>
      <c r="X195" s="577"/>
      <c r="Y195" s="129">
        <f t="shared" si="3"/>
        <v>1</v>
      </c>
      <c r="Z195" s="1"/>
    </row>
    <row r="196" spans="1:28" s="1" customFormat="1" ht="23" x14ac:dyDescent="0.25">
      <c r="B196" s="18"/>
      <c r="C196" s="40"/>
      <c r="D196" s="81"/>
      <c r="E196" s="300"/>
      <c r="F196" s="308"/>
      <c r="G196" s="110"/>
      <c r="H196" s="81"/>
      <c r="I196" s="300"/>
      <c r="J196" s="33"/>
      <c r="K196" s="76"/>
      <c r="L196" s="306"/>
      <c r="M196" s="327"/>
      <c r="N196" s="323"/>
      <c r="O196" s="331"/>
      <c r="P196" s="98" t="s">
        <v>214</v>
      </c>
      <c r="Q196" s="200" t="s">
        <v>50</v>
      </c>
      <c r="R196" s="406"/>
      <c r="S196" s="388"/>
      <c r="T196" s="467"/>
      <c r="U196" s="526"/>
      <c r="V196" s="613"/>
      <c r="W196" s="676"/>
      <c r="X196" s="475"/>
      <c r="Y196" s="469"/>
    </row>
    <row r="197" spans="1:28" s="1" customFormat="1" ht="35" thickBot="1" x14ac:dyDescent="0.3">
      <c r="B197" s="18"/>
      <c r="C197" s="40"/>
      <c r="D197" s="81"/>
      <c r="E197" s="300"/>
      <c r="F197" s="308"/>
      <c r="G197" s="110"/>
      <c r="H197" s="81"/>
      <c r="I197" s="300"/>
      <c r="J197" s="33"/>
      <c r="K197" s="76"/>
      <c r="L197" s="80" t="s">
        <v>510</v>
      </c>
      <c r="M197" s="716" t="s">
        <v>49</v>
      </c>
      <c r="N197" s="238"/>
      <c r="O197" s="356"/>
      <c r="P197" s="374"/>
      <c r="Q197" s="375"/>
      <c r="R197" s="406"/>
      <c r="S197" s="388"/>
      <c r="T197" s="103" t="s">
        <v>440</v>
      </c>
      <c r="U197" s="576" t="s">
        <v>232</v>
      </c>
      <c r="V197" s="618">
        <f>COUNTIF(L197:S200, "M")</f>
        <v>3</v>
      </c>
      <c r="W197" s="678">
        <f>COUNTIF(L197:S200, "Z")</f>
        <v>1</v>
      </c>
      <c r="X197" s="577"/>
      <c r="Y197" s="129">
        <f t="shared" si="3"/>
        <v>4</v>
      </c>
    </row>
    <row r="198" spans="1:28" s="1" customFormat="1" ht="24" thickTop="1" thickBot="1" x14ac:dyDescent="0.3">
      <c r="B198" s="18"/>
      <c r="C198" s="40"/>
      <c r="D198" s="81"/>
      <c r="E198" s="300"/>
      <c r="F198" s="294"/>
      <c r="G198" s="110"/>
      <c r="H198" s="311"/>
      <c r="I198" s="299"/>
      <c r="J198" s="33"/>
      <c r="K198" s="76"/>
      <c r="L198" s="32"/>
      <c r="M198" s="92"/>
      <c r="N198" s="67" t="s">
        <v>288</v>
      </c>
      <c r="O198" s="200" t="s">
        <v>50</v>
      </c>
      <c r="P198" s="162"/>
      <c r="Q198" s="163"/>
      <c r="R198" s="396"/>
      <c r="S198" s="388"/>
      <c r="T198" s="467"/>
      <c r="U198" s="527"/>
      <c r="V198" s="613"/>
      <c r="W198" s="676"/>
      <c r="X198" s="475"/>
      <c r="Y198" s="469"/>
    </row>
    <row r="199" spans="1:28" s="1" customFormat="1" ht="17" thickTop="1" thickBot="1" x14ac:dyDescent="0.3">
      <c r="B199" s="18"/>
      <c r="C199" s="40"/>
      <c r="D199" s="81"/>
      <c r="E199" s="300"/>
      <c r="F199" s="308"/>
      <c r="G199" s="110"/>
      <c r="H199" s="81"/>
      <c r="I199" s="300"/>
      <c r="J199" s="33"/>
      <c r="K199" s="76"/>
      <c r="L199" s="32"/>
      <c r="M199" s="91"/>
      <c r="N199" s="436" t="s">
        <v>112</v>
      </c>
      <c r="O199" s="437" t="s">
        <v>49</v>
      </c>
      <c r="P199" s="165"/>
      <c r="Q199" s="153"/>
      <c r="R199" s="396"/>
      <c r="S199" s="388"/>
      <c r="T199" s="569" t="s">
        <v>472</v>
      </c>
      <c r="U199" s="570" t="s">
        <v>141</v>
      </c>
      <c r="V199" s="617">
        <v>1</v>
      </c>
      <c r="W199" s="677">
        <v>0</v>
      </c>
      <c r="X199" s="575"/>
      <c r="Y199" s="572">
        <f t="shared" si="3"/>
        <v>1</v>
      </c>
    </row>
    <row r="200" spans="1:28" s="1" customFormat="1" ht="17" thickTop="1" thickBot="1" x14ac:dyDescent="0.3">
      <c r="B200" s="18"/>
      <c r="C200" s="40"/>
      <c r="D200" s="81"/>
      <c r="E200" s="300"/>
      <c r="F200" s="308"/>
      <c r="G200" s="110"/>
      <c r="H200" s="81"/>
      <c r="I200" s="300"/>
      <c r="J200" s="33"/>
      <c r="K200" s="76"/>
      <c r="L200" s="82"/>
      <c r="M200" s="178"/>
      <c r="N200" s="436" t="s">
        <v>113</v>
      </c>
      <c r="O200" s="437" t="s">
        <v>49</v>
      </c>
      <c r="P200" s="165"/>
      <c r="Q200" s="153"/>
      <c r="R200" s="404"/>
      <c r="S200" s="388"/>
      <c r="T200" s="569" t="s">
        <v>473</v>
      </c>
      <c r="U200" s="570" t="s">
        <v>159</v>
      </c>
      <c r="V200" s="617">
        <v>1</v>
      </c>
      <c r="W200" s="677">
        <v>0</v>
      </c>
      <c r="X200" s="575"/>
      <c r="Y200" s="572">
        <f t="shared" si="3"/>
        <v>1</v>
      </c>
    </row>
    <row r="201" spans="1:28" s="1" customFormat="1" ht="17" thickTop="1" thickBot="1" x14ac:dyDescent="0.3">
      <c r="B201" s="18"/>
      <c r="C201" s="40"/>
      <c r="D201" s="81"/>
      <c r="E201" s="300"/>
      <c r="F201" s="308"/>
      <c r="G201" s="110"/>
      <c r="H201" s="81"/>
      <c r="I201" s="300"/>
      <c r="J201" s="436" t="s">
        <v>94</v>
      </c>
      <c r="K201" s="437" t="s">
        <v>49</v>
      </c>
      <c r="L201" s="207"/>
      <c r="M201" s="208"/>
      <c r="N201" s="207"/>
      <c r="O201" s="208"/>
      <c r="P201" s="162"/>
      <c r="Q201" s="163"/>
      <c r="R201" s="387"/>
      <c r="S201" s="388"/>
      <c r="T201" s="569" t="s">
        <v>398</v>
      </c>
      <c r="U201" s="570" t="s">
        <v>37</v>
      </c>
      <c r="V201" s="617">
        <v>1</v>
      </c>
      <c r="W201" s="677">
        <v>0</v>
      </c>
      <c r="X201" s="575"/>
      <c r="Y201" s="572">
        <f t="shared" si="3"/>
        <v>1</v>
      </c>
    </row>
    <row r="202" spans="1:28" s="1" customFormat="1" ht="46.5" customHeight="1" thickTop="1" thickBot="1" x14ac:dyDescent="0.3">
      <c r="B202" s="18" t="s">
        <v>129</v>
      </c>
      <c r="C202" s="40"/>
      <c r="D202" s="81" t="s">
        <v>130</v>
      </c>
      <c r="E202" s="300"/>
      <c r="F202" s="294" t="s">
        <v>270</v>
      </c>
      <c r="G202" s="110"/>
      <c r="H202" s="311" t="s">
        <v>495</v>
      </c>
      <c r="I202" s="300"/>
      <c r="J202" s="67" t="s">
        <v>289</v>
      </c>
      <c r="K202" s="200" t="s">
        <v>50</v>
      </c>
      <c r="L202" s="162"/>
      <c r="M202" s="163"/>
      <c r="N202" s="162"/>
      <c r="O202" s="163"/>
      <c r="P202" s="162"/>
      <c r="Q202" s="163"/>
      <c r="R202" s="387"/>
      <c r="S202" s="388"/>
      <c r="T202" s="467"/>
      <c r="U202" s="468"/>
      <c r="V202" s="613"/>
      <c r="W202" s="676"/>
      <c r="X202" s="475"/>
      <c r="Y202" s="469"/>
    </row>
    <row r="203" spans="1:28" s="1" customFormat="1" ht="35.5" thickTop="1" thickBot="1" x14ac:dyDescent="0.3">
      <c r="B203" s="18"/>
      <c r="C203" s="40"/>
      <c r="D203" s="81"/>
      <c r="E203" s="300"/>
      <c r="F203" s="308"/>
      <c r="G203" s="110"/>
      <c r="H203" s="81"/>
      <c r="I203" s="300"/>
      <c r="J203" s="317" t="s">
        <v>290</v>
      </c>
      <c r="K203" s="702" t="s">
        <v>49</v>
      </c>
      <c r="L203" s="257"/>
      <c r="M203" s="256"/>
      <c r="N203" s="162"/>
      <c r="O203" s="163"/>
      <c r="P203" s="162"/>
      <c r="Q203" s="163"/>
      <c r="R203" s="387"/>
      <c r="S203" s="388"/>
      <c r="T203" s="547" t="s">
        <v>399</v>
      </c>
      <c r="U203" s="573" t="s">
        <v>143</v>
      </c>
      <c r="V203" s="619">
        <f>COUNTIF(J203:S206, "M")</f>
        <v>3</v>
      </c>
      <c r="W203" s="675">
        <f>COUNTIF(J203:S206, "Z")</f>
        <v>1</v>
      </c>
      <c r="X203" s="574"/>
      <c r="Y203" s="550">
        <f t="shared" si="3"/>
        <v>4</v>
      </c>
    </row>
    <row r="204" spans="1:28" s="1" customFormat="1" ht="24" thickTop="1" thickBot="1" x14ac:dyDescent="0.3">
      <c r="B204" s="18"/>
      <c r="C204" s="40"/>
      <c r="D204" s="81"/>
      <c r="E204" s="300"/>
      <c r="F204" s="308"/>
      <c r="G204" s="110"/>
      <c r="H204" s="81"/>
      <c r="I204" s="300"/>
      <c r="J204" s="303"/>
      <c r="K204" s="318"/>
      <c r="L204" s="364" t="s">
        <v>511</v>
      </c>
      <c r="M204" s="200" t="s">
        <v>50</v>
      </c>
      <c r="N204" s="162"/>
      <c r="O204" s="163"/>
      <c r="P204" s="162"/>
      <c r="Q204" s="163"/>
      <c r="R204" s="387"/>
      <c r="S204" s="388"/>
      <c r="T204" s="467"/>
      <c r="U204" s="468"/>
      <c r="V204" s="613"/>
      <c r="W204" s="676"/>
      <c r="X204" s="475"/>
      <c r="Y204" s="469"/>
    </row>
    <row r="205" spans="1:28" s="1" customFormat="1" ht="35.5" thickTop="1" thickBot="1" x14ac:dyDescent="0.3">
      <c r="B205" s="18"/>
      <c r="C205" s="40"/>
      <c r="D205" s="81"/>
      <c r="E205" s="300"/>
      <c r="F205" s="308"/>
      <c r="G205" s="110"/>
      <c r="H205" s="81"/>
      <c r="I205" s="300"/>
      <c r="J205" s="303"/>
      <c r="K205" s="324"/>
      <c r="L205" s="272" t="s">
        <v>512</v>
      </c>
      <c r="M205" s="265" t="s">
        <v>49</v>
      </c>
      <c r="N205" s="283"/>
      <c r="O205" s="284"/>
      <c r="P205" s="165"/>
      <c r="Q205" s="153"/>
      <c r="R205" s="415"/>
      <c r="S205" s="388"/>
      <c r="T205" s="106" t="s">
        <v>441</v>
      </c>
      <c r="U205" s="109" t="s">
        <v>233</v>
      </c>
      <c r="V205" s="624">
        <f>COUNTIF(L205:S206, "M")</f>
        <v>2</v>
      </c>
      <c r="W205" s="680">
        <f>COUNTIF(L205:S206, "Z")</f>
        <v>0</v>
      </c>
      <c r="X205" s="474"/>
      <c r="Y205" s="133">
        <f t="shared" si="3"/>
        <v>2</v>
      </c>
    </row>
    <row r="206" spans="1:28" s="1" customFormat="1" ht="17" thickTop="1" thickBot="1" x14ac:dyDescent="0.3">
      <c r="B206" s="18"/>
      <c r="C206" s="40"/>
      <c r="D206" s="81"/>
      <c r="E206" s="300"/>
      <c r="F206" s="308"/>
      <c r="G206" s="110"/>
      <c r="H206" s="81"/>
      <c r="I206" s="300"/>
      <c r="J206" s="306"/>
      <c r="K206" s="325"/>
      <c r="L206" s="345"/>
      <c r="M206" s="271"/>
      <c r="N206" s="436" t="s">
        <v>114</v>
      </c>
      <c r="O206" s="437" t="s">
        <v>49</v>
      </c>
      <c r="P206" s="165"/>
      <c r="Q206" s="153"/>
      <c r="R206" s="396"/>
      <c r="S206" s="388"/>
      <c r="T206" s="569" t="s">
        <v>474</v>
      </c>
      <c r="U206" s="570" t="s">
        <v>147</v>
      </c>
      <c r="V206" s="617">
        <v>1</v>
      </c>
      <c r="W206" s="677">
        <v>0</v>
      </c>
      <c r="X206" s="575"/>
      <c r="Y206" s="572">
        <f t="shared" si="3"/>
        <v>1</v>
      </c>
    </row>
    <row r="207" spans="1:28" s="1" customFormat="1" ht="17" thickTop="1" thickBot="1" x14ac:dyDescent="0.3">
      <c r="B207" s="18"/>
      <c r="C207" s="40"/>
      <c r="D207" s="81"/>
      <c r="E207" s="300"/>
      <c r="F207" s="308"/>
      <c r="G207" s="110"/>
      <c r="H207" s="81"/>
      <c r="I207" s="300"/>
      <c r="J207" s="329"/>
      <c r="K207" s="40"/>
      <c r="L207" s="138"/>
      <c r="M207" s="229"/>
      <c r="N207" s="241"/>
      <c r="O207" s="242"/>
      <c r="P207" s="165" t="s">
        <v>137</v>
      </c>
      <c r="Q207" s="153"/>
      <c r="R207" s="400"/>
      <c r="S207" s="390"/>
      <c r="T207" s="102" t="s">
        <v>400</v>
      </c>
      <c r="U207" s="111" t="s">
        <v>142</v>
      </c>
      <c r="V207" s="621">
        <f>COUNTIF(J207:S220, "M")</f>
        <v>8</v>
      </c>
      <c r="W207" s="674">
        <f>COUNTIF(J207:S220, "Z")</f>
        <v>6</v>
      </c>
      <c r="X207" s="470"/>
      <c r="Y207" s="134">
        <f t="shared" si="3"/>
        <v>14</v>
      </c>
      <c r="Z207" s="4"/>
      <c r="AA207" s="4"/>
      <c r="AB207" s="4"/>
    </row>
    <row r="208" spans="1:28" s="1" customFormat="1" ht="17" thickTop="1" thickBot="1" x14ac:dyDescent="0.3">
      <c r="B208" s="18"/>
      <c r="C208" s="40"/>
      <c r="D208" s="81"/>
      <c r="E208" s="300"/>
      <c r="F208" s="308"/>
      <c r="G208" s="110"/>
      <c r="H208" s="81"/>
      <c r="I208" s="300"/>
      <c r="J208" s="699" t="s">
        <v>133</v>
      </c>
      <c r="K208" s="712" t="s">
        <v>49</v>
      </c>
      <c r="L208" s="444" t="s">
        <v>126</v>
      </c>
      <c r="M208" s="367" t="s">
        <v>50</v>
      </c>
      <c r="N208" s="162"/>
      <c r="O208" s="163"/>
      <c r="P208" s="162"/>
      <c r="Q208" s="163"/>
      <c r="R208" s="399"/>
      <c r="S208" s="388"/>
      <c r="T208" s="467"/>
      <c r="U208" s="468"/>
      <c r="V208" s="613"/>
      <c r="W208" s="676"/>
      <c r="X208" s="475"/>
      <c r="Y208" s="469"/>
    </row>
    <row r="209" spans="2:30" s="1" customFormat="1" ht="35.5" thickTop="1" thickBot="1" x14ac:dyDescent="0.3">
      <c r="B209" s="18"/>
      <c r="C209" s="40"/>
      <c r="D209" s="81"/>
      <c r="E209" s="300"/>
      <c r="F209" s="308"/>
      <c r="G209" s="110"/>
      <c r="H209" s="81"/>
      <c r="I209" s="300"/>
      <c r="J209" s="72"/>
      <c r="K209" s="40"/>
      <c r="L209" s="32" t="s">
        <v>291</v>
      </c>
      <c r="M209" s="716" t="s">
        <v>49</v>
      </c>
      <c r="N209" s="357"/>
      <c r="O209" s="284"/>
      <c r="P209" s="700"/>
      <c r="Q209" s="163"/>
      <c r="R209" s="399"/>
      <c r="S209" s="388"/>
      <c r="T209" s="103" t="s">
        <v>442</v>
      </c>
      <c r="U209" s="576" t="s">
        <v>51</v>
      </c>
      <c r="V209" s="618">
        <f>COUNTIF(L209:S213, "M")</f>
        <v>3</v>
      </c>
      <c r="W209" s="678">
        <f>COUNTIF(L209:S213, "Z")</f>
        <v>2</v>
      </c>
      <c r="X209" s="577"/>
      <c r="Y209" s="129">
        <f t="shared" si="3"/>
        <v>5</v>
      </c>
    </row>
    <row r="210" spans="2:30" s="1" customFormat="1" ht="24" thickTop="1" thickBot="1" x14ac:dyDescent="0.3">
      <c r="B210" s="18"/>
      <c r="C210" s="40"/>
      <c r="D210" s="81"/>
      <c r="E210" s="300"/>
      <c r="F210" s="308"/>
      <c r="G210" s="110"/>
      <c r="H210" s="81"/>
      <c r="I210" s="300"/>
      <c r="J210" s="72"/>
      <c r="K210" s="40"/>
      <c r="L210" s="32"/>
      <c r="M210" s="91"/>
      <c r="N210" s="67" t="s">
        <v>207</v>
      </c>
      <c r="O210" s="200" t="s">
        <v>50</v>
      </c>
      <c r="P210" s="162"/>
      <c r="Q210" s="163"/>
      <c r="R210" s="396"/>
      <c r="S210" s="388"/>
      <c r="T210" s="467"/>
      <c r="U210" s="527"/>
      <c r="V210" s="613"/>
      <c r="W210" s="676"/>
      <c r="X210" s="475"/>
      <c r="Y210" s="469"/>
    </row>
    <row r="211" spans="2:30" s="1" customFormat="1" ht="35" thickTop="1" x14ac:dyDescent="0.25">
      <c r="B211" s="18"/>
      <c r="C211" s="40"/>
      <c r="D211" s="81"/>
      <c r="E211" s="300"/>
      <c r="F211" s="308"/>
      <c r="G211" s="110"/>
      <c r="H211" s="81"/>
      <c r="I211" s="300"/>
      <c r="J211" s="72" t="s">
        <v>188</v>
      </c>
      <c r="K211" s="40"/>
      <c r="L211" s="32"/>
      <c r="M211" s="91"/>
      <c r="N211" s="95" t="s">
        <v>517</v>
      </c>
      <c r="O211" s="701" t="s">
        <v>49</v>
      </c>
      <c r="P211" s="283"/>
      <c r="Q211" s="284"/>
      <c r="R211" s="414"/>
      <c r="S211" s="388"/>
      <c r="T211" s="547" t="s">
        <v>475</v>
      </c>
      <c r="U211" s="573" t="s">
        <v>140</v>
      </c>
      <c r="V211" s="619">
        <f>COUNTIF(N211:S213, "M")</f>
        <v>2</v>
      </c>
      <c r="W211" s="675">
        <f>COUNTIF(N211:S213, "Z")</f>
        <v>1</v>
      </c>
      <c r="X211" s="574"/>
      <c r="Y211" s="550">
        <f t="shared" si="3"/>
        <v>3</v>
      </c>
      <c r="Z211" s="20"/>
    </row>
    <row r="212" spans="2:30" s="1" customFormat="1" ht="47.5" customHeight="1" x14ac:dyDescent="0.25">
      <c r="B212" s="18" t="s">
        <v>129</v>
      </c>
      <c r="C212" s="40"/>
      <c r="D212" s="81" t="s">
        <v>130</v>
      </c>
      <c r="E212" s="300"/>
      <c r="F212" s="294" t="s">
        <v>270</v>
      </c>
      <c r="G212" s="110"/>
      <c r="H212" s="311" t="s">
        <v>495</v>
      </c>
      <c r="I212" s="300"/>
      <c r="J212" s="72"/>
      <c r="K212" s="40"/>
      <c r="L212" s="32"/>
      <c r="M212" s="91"/>
      <c r="N212" s="57"/>
      <c r="O212" s="97"/>
      <c r="P212" s="601" t="s">
        <v>115</v>
      </c>
      <c r="Q212" s="602" t="s">
        <v>49</v>
      </c>
      <c r="R212" s="414"/>
      <c r="S212" s="388"/>
      <c r="T212" s="603" t="s">
        <v>485</v>
      </c>
      <c r="U212" s="604" t="s">
        <v>0</v>
      </c>
      <c r="V212" s="626">
        <v>1</v>
      </c>
      <c r="W212" s="689">
        <v>0</v>
      </c>
      <c r="X212" s="605"/>
      <c r="Y212" s="606">
        <f t="shared" ref="Y212:Y275" si="4">V212+W212+X212</f>
        <v>1</v>
      </c>
      <c r="Z212" s="20"/>
    </row>
    <row r="213" spans="2:30" s="1" customFormat="1" ht="23.5" thickBot="1" x14ac:dyDescent="0.3">
      <c r="B213" s="18"/>
      <c r="C213" s="40"/>
      <c r="D213" s="81"/>
      <c r="E213" s="300"/>
      <c r="F213" s="308"/>
      <c r="G213" s="110"/>
      <c r="H213" s="81"/>
      <c r="I213" s="300"/>
      <c r="J213" s="72"/>
      <c r="K213" s="76"/>
      <c r="L213" s="82"/>
      <c r="M213" s="178"/>
      <c r="N213" s="306"/>
      <c r="O213" s="358"/>
      <c r="P213" s="98" t="s">
        <v>215</v>
      </c>
      <c r="Q213" s="200" t="s">
        <v>50</v>
      </c>
      <c r="R213" s="406"/>
      <c r="S213" s="388"/>
      <c r="T213" s="491"/>
      <c r="U213" s="534"/>
      <c r="V213" s="615"/>
      <c r="W213" s="664"/>
      <c r="X213" s="493"/>
      <c r="Y213" s="494"/>
    </row>
    <row r="214" spans="2:30" s="1" customFormat="1" ht="24" thickTop="1" thickBot="1" x14ac:dyDescent="0.3">
      <c r="B214" s="18"/>
      <c r="C214" s="40"/>
      <c r="D214" s="81"/>
      <c r="E214" s="300"/>
      <c r="F214" s="308"/>
      <c r="G214" s="110"/>
      <c r="H214" s="81"/>
      <c r="I214" s="300"/>
      <c r="J214" s="73"/>
      <c r="K214" s="40"/>
      <c r="L214" s="366" t="s">
        <v>216</v>
      </c>
      <c r="M214" s="367" t="s">
        <v>50</v>
      </c>
      <c r="N214" s="207"/>
      <c r="O214" s="208"/>
      <c r="P214" s="207"/>
      <c r="Q214" s="208"/>
      <c r="R214" s="396"/>
      <c r="S214" s="388"/>
      <c r="T214" s="513"/>
      <c r="U214" s="531"/>
      <c r="V214" s="616"/>
      <c r="W214" s="681"/>
      <c r="X214" s="515"/>
      <c r="Y214" s="516"/>
    </row>
    <row r="215" spans="2:30" s="1" customFormat="1" ht="35.5" thickTop="1" thickBot="1" x14ac:dyDescent="0.3">
      <c r="B215" s="18"/>
      <c r="C215" s="40"/>
      <c r="D215" s="81"/>
      <c r="E215" s="300"/>
      <c r="F215" s="308"/>
      <c r="G215" s="110"/>
      <c r="H215" s="81"/>
      <c r="I215" s="300"/>
      <c r="J215" s="72"/>
      <c r="K215" s="40"/>
      <c r="L215" s="336" t="s">
        <v>292</v>
      </c>
      <c r="M215" s="702" t="s">
        <v>49</v>
      </c>
      <c r="N215" s="257"/>
      <c r="O215" s="256"/>
      <c r="P215" s="162"/>
      <c r="Q215" s="163"/>
      <c r="R215" s="396"/>
      <c r="S215" s="388"/>
      <c r="T215" s="547" t="s">
        <v>443</v>
      </c>
      <c r="U215" s="573" t="s">
        <v>251</v>
      </c>
      <c r="V215" s="619">
        <f>COUNTIF(L215:S216, "M")</f>
        <v>1</v>
      </c>
      <c r="W215" s="675">
        <f>COUNTIF(L215:S216, "Z")</f>
        <v>1</v>
      </c>
      <c r="X215" s="574"/>
      <c r="Y215" s="550">
        <f t="shared" si="4"/>
        <v>2</v>
      </c>
    </row>
    <row r="216" spans="2:30" s="1" customFormat="1" ht="24" thickTop="1" thickBot="1" x14ac:dyDescent="0.3">
      <c r="B216" s="18"/>
      <c r="C216" s="40"/>
      <c r="D216" s="81"/>
      <c r="E216" s="300"/>
      <c r="F216" s="308"/>
      <c r="G216" s="110"/>
      <c r="H216" s="81"/>
      <c r="I216" s="300"/>
      <c r="J216" s="72"/>
      <c r="K216" s="40"/>
      <c r="L216" s="337"/>
      <c r="M216" s="320"/>
      <c r="N216" s="369" t="s">
        <v>208</v>
      </c>
      <c r="O216" s="200" t="s">
        <v>50</v>
      </c>
      <c r="P216" s="162"/>
      <c r="Q216" s="163"/>
      <c r="R216" s="399"/>
      <c r="S216" s="388"/>
      <c r="T216" s="467"/>
      <c r="U216" s="468"/>
      <c r="V216" s="613"/>
      <c r="W216" s="676"/>
      <c r="X216" s="475"/>
      <c r="Y216" s="469"/>
    </row>
    <row r="217" spans="2:30" s="1" customFormat="1" ht="35.5" thickTop="1" thickBot="1" x14ac:dyDescent="0.3">
      <c r="B217" s="18"/>
      <c r="C217" s="40"/>
      <c r="D217" s="81"/>
      <c r="E217" s="300"/>
      <c r="F217" s="308"/>
      <c r="G217" s="110"/>
      <c r="H217" s="81"/>
      <c r="I217" s="300"/>
      <c r="J217" s="72"/>
      <c r="K217" s="40"/>
      <c r="L217" s="87" t="s">
        <v>294</v>
      </c>
      <c r="M217" s="716" t="s">
        <v>49</v>
      </c>
      <c r="N217" s="359"/>
      <c r="O217" s="185"/>
      <c r="P217" s="165"/>
      <c r="Q217" s="153"/>
      <c r="R217" s="407"/>
      <c r="S217" s="388"/>
      <c r="T217" s="103" t="s">
        <v>444</v>
      </c>
      <c r="U217" s="576" t="s">
        <v>141</v>
      </c>
      <c r="V217" s="618">
        <f>COUNTIF(L217:S220, "M")</f>
        <v>3</v>
      </c>
      <c r="W217" s="678">
        <f>COUNTIF(L217:S220, "Z")</f>
        <v>1</v>
      </c>
      <c r="X217" s="577"/>
      <c r="Y217" s="129">
        <f t="shared" si="4"/>
        <v>4</v>
      </c>
    </row>
    <row r="218" spans="2:30" s="1" customFormat="1" ht="35.5" thickTop="1" thickBot="1" x14ac:dyDescent="0.3">
      <c r="B218" s="18"/>
      <c r="C218" s="40"/>
      <c r="D218" s="81"/>
      <c r="E218" s="300"/>
      <c r="F218" s="294"/>
      <c r="G218" s="110"/>
      <c r="H218" s="311"/>
      <c r="I218" s="300"/>
      <c r="J218" s="72" t="s">
        <v>293</v>
      </c>
      <c r="K218" s="40"/>
      <c r="L218" s="90"/>
      <c r="M218" s="278"/>
      <c r="N218" s="67" t="s">
        <v>487</v>
      </c>
      <c r="O218" s="200" t="s">
        <v>50</v>
      </c>
      <c r="P218" s="162"/>
      <c r="Q218" s="163"/>
      <c r="R218" s="387"/>
      <c r="S218" s="388"/>
      <c r="T218" s="467"/>
      <c r="U218" s="468"/>
      <c r="V218" s="613"/>
      <c r="W218" s="676"/>
      <c r="X218" s="475"/>
      <c r="Y218" s="469"/>
      <c r="AB218" s="20"/>
      <c r="AC218" s="20"/>
      <c r="AD218" s="20"/>
    </row>
    <row r="219" spans="2:30" s="1" customFormat="1" ht="24" thickTop="1" thickBot="1" x14ac:dyDescent="0.3">
      <c r="B219" s="18"/>
      <c r="C219" s="40"/>
      <c r="D219" s="81"/>
      <c r="E219" s="300"/>
      <c r="F219" s="308"/>
      <c r="G219" s="110"/>
      <c r="H219" s="81"/>
      <c r="I219" s="300"/>
      <c r="J219" s="72"/>
      <c r="K219" s="40"/>
      <c r="L219" s="85" t="s">
        <v>194</v>
      </c>
      <c r="M219" s="91"/>
      <c r="N219" s="436" t="s">
        <v>116</v>
      </c>
      <c r="O219" s="437" t="s">
        <v>49</v>
      </c>
      <c r="P219" s="165"/>
      <c r="Q219" s="153"/>
      <c r="R219" s="415"/>
      <c r="S219" s="388"/>
      <c r="T219" s="569" t="s">
        <v>476</v>
      </c>
      <c r="U219" s="570" t="s">
        <v>176</v>
      </c>
      <c r="V219" s="617">
        <v>1</v>
      </c>
      <c r="W219" s="677">
        <v>0</v>
      </c>
      <c r="X219" s="575"/>
      <c r="Y219" s="572">
        <f t="shared" si="4"/>
        <v>1</v>
      </c>
    </row>
    <row r="220" spans="2:30" s="1" customFormat="1" ht="17" thickTop="1" thickBot="1" x14ac:dyDescent="0.3">
      <c r="B220" s="18"/>
      <c r="C220" s="40"/>
      <c r="D220" s="81"/>
      <c r="E220" s="300"/>
      <c r="F220" s="308"/>
      <c r="G220" s="110"/>
      <c r="H220" s="81"/>
      <c r="I220" s="300"/>
      <c r="J220" s="74"/>
      <c r="K220" s="41"/>
      <c r="L220" s="82"/>
      <c r="M220" s="178"/>
      <c r="N220" s="436" t="s">
        <v>117</v>
      </c>
      <c r="O220" s="437" t="s">
        <v>49</v>
      </c>
      <c r="P220" s="165"/>
      <c r="Q220" s="153"/>
      <c r="R220" s="396"/>
      <c r="S220" s="388"/>
      <c r="T220" s="569" t="s">
        <v>477</v>
      </c>
      <c r="U220" s="570" t="s">
        <v>68</v>
      </c>
      <c r="V220" s="617">
        <v>1</v>
      </c>
      <c r="W220" s="677">
        <v>0</v>
      </c>
      <c r="X220" s="575"/>
      <c r="Y220" s="572">
        <f t="shared" si="4"/>
        <v>1</v>
      </c>
    </row>
    <row r="221" spans="2:30" s="1" customFormat="1" ht="35.5" thickTop="1" thickBot="1" x14ac:dyDescent="0.3">
      <c r="B221" s="18"/>
      <c r="C221" s="40"/>
      <c r="D221" s="81"/>
      <c r="E221" s="300"/>
      <c r="F221" s="308"/>
      <c r="G221" s="110"/>
      <c r="H221" s="81"/>
      <c r="I221" s="300"/>
      <c r="J221" s="303" t="s">
        <v>513</v>
      </c>
      <c r="K221" s="702" t="s">
        <v>49</v>
      </c>
      <c r="L221" s="279"/>
      <c r="M221" s="280"/>
      <c r="N221" s="228"/>
      <c r="O221" s="289"/>
      <c r="P221" s="162"/>
      <c r="Q221" s="163"/>
      <c r="R221" s="399"/>
      <c r="S221" s="388"/>
      <c r="T221" s="547" t="s">
        <v>401</v>
      </c>
      <c r="U221" s="573" t="s">
        <v>144</v>
      </c>
      <c r="V221" s="619">
        <f>COUNTIF(J221:S227, "M")</f>
        <v>5</v>
      </c>
      <c r="W221" s="675">
        <f>COUNTIF(J221:S227, "Z")</f>
        <v>2</v>
      </c>
      <c r="X221" s="574"/>
      <c r="Y221" s="550">
        <f t="shared" si="4"/>
        <v>7</v>
      </c>
    </row>
    <row r="222" spans="2:30" s="1" customFormat="1" ht="49" customHeight="1" thickTop="1" thickBot="1" x14ac:dyDescent="0.3">
      <c r="B222" s="18" t="s">
        <v>129</v>
      </c>
      <c r="C222" s="40"/>
      <c r="D222" s="81" t="s">
        <v>130</v>
      </c>
      <c r="E222" s="300"/>
      <c r="F222" s="294" t="s">
        <v>270</v>
      </c>
      <c r="G222" s="110"/>
      <c r="H222" s="311" t="s">
        <v>495</v>
      </c>
      <c r="I222" s="300"/>
      <c r="J222" s="303"/>
      <c r="K222" s="318"/>
      <c r="L222" s="307" t="s">
        <v>514</v>
      </c>
      <c r="M222" s="707" t="s">
        <v>49</v>
      </c>
      <c r="N222" s="283"/>
      <c r="O222" s="284"/>
      <c r="P222" s="162"/>
      <c r="Q222" s="163"/>
      <c r="R222" s="399"/>
      <c r="S222" s="388"/>
      <c r="T222" s="102" t="s">
        <v>445</v>
      </c>
      <c r="U222" s="111" t="s">
        <v>527</v>
      </c>
      <c r="V222" s="621">
        <f>COUNTIF(L222:S224, "M")</f>
        <v>2</v>
      </c>
      <c r="W222" s="674">
        <f>COUNTIF(L222:S224, "Z")</f>
        <v>1</v>
      </c>
      <c r="X222" s="470"/>
      <c r="Y222" s="134">
        <f t="shared" si="4"/>
        <v>3</v>
      </c>
    </row>
    <row r="223" spans="2:30" s="1" customFormat="1" ht="24" thickTop="1" thickBot="1" x14ac:dyDescent="0.3">
      <c r="B223" s="18"/>
      <c r="C223" s="40"/>
      <c r="D223" s="81"/>
      <c r="E223" s="300"/>
      <c r="F223" s="308"/>
      <c r="G223" s="110"/>
      <c r="H223" s="81"/>
      <c r="I223" s="300"/>
      <c r="J223" s="303"/>
      <c r="K223" s="318"/>
      <c r="L223" s="294"/>
      <c r="M223" s="330"/>
      <c r="N223" s="69" t="s">
        <v>209</v>
      </c>
      <c r="O223" s="77" t="s">
        <v>50</v>
      </c>
      <c r="P223" s="162"/>
      <c r="Q223" s="163"/>
      <c r="R223" s="399"/>
      <c r="S223" s="388"/>
      <c r="T223" s="467"/>
      <c r="U223" s="468"/>
      <c r="V223" s="613"/>
      <c r="W223" s="676"/>
      <c r="X223" s="475"/>
      <c r="Y223" s="469"/>
    </row>
    <row r="224" spans="2:30" s="1" customFormat="1" ht="17" thickTop="1" thickBot="1" x14ac:dyDescent="0.3">
      <c r="B224" s="18"/>
      <c r="C224" s="40"/>
      <c r="D224" s="298"/>
      <c r="E224" s="300"/>
      <c r="F224" s="308"/>
      <c r="G224" s="110"/>
      <c r="H224" s="81"/>
      <c r="I224" s="300"/>
      <c r="J224" s="303"/>
      <c r="K224" s="318"/>
      <c r="L224" s="323"/>
      <c r="M224" s="338"/>
      <c r="N224" s="436" t="s">
        <v>118</v>
      </c>
      <c r="O224" s="445" t="s">
        <v>49</v>
      </c>
      <c r="P224" s="165"/>
      <c r="Q224" s="153"/>
      <c r="R224" s="396"/>
      <c r="S224" s="388"/>
      <c r="T224" s="569" t="s">
        <v>478</v>
      </c>
      <c r="U224" s="570" t="s">
        <v>141</v>
      </c>
      <c r="V224" s="617">
        <v>1</v>
      </c>
      <c r="W224" s="677">
        <v>0</v>
      </c>
      <c r="X224" s="575"/>
      <c r="Y224" s="572">
        <f t="shared" si="4"/>
        <v>1</v>
      </c>
    </row>
    <row r="225" spans="1:27" s="1" customFormat="1" ht="35.5" thickTop="1" thickBot="1" x14ac:dyDescent="0.3">
      <c r="B225" s="18"/>
      <c r="C225" s="40"/>
      <c r="D225" s="298"/>
      <c r="E225" s="300"/>
      <c r="F225" s="308"/>
      <c r="G225" s="110"/>
      <c r="H225" s="81"/>
      <c r="I225" s="300"/>
      <c r="J225" s="303"/>
      <c r="K225" s="318"/>
      <c r="L225" s="334" t="s">
        <v>515</v>
      </c>
      <c r="M225" s="708" t="s">
        <v>49</v>
      </c>
      <c r="N225" s="138"/>
      <c r="O225" s="360"/>
      <c r="P225" s="165"/>
      <c r="Q225" s="153"/>
      <c r="R225" s="396"/>
      <c r="S225" s="388"/>
      <c r="T225" s="106" t="s">
        <v>446</v>
      </c>
      <c r="U225" s="109" t="s">
        <v>234</v>
      </c>
      <c r="V225" s="624">
        <f>COUNTIF(L225:S227, "M")</f>
        <v>2</v>
      </c>
      <c r="W225" s="680">
        <f>COUNTIF(L225:S227, "Z")</f>
        <v>1</v>
      </c>
      <c r="X225" s="474"/>
      <c r="Y225" s="133">
        <f t="shared" si="4"/>
        <v>3</v>
      </c>
    </row>
    <row r="226" spans="1:27" s="1" customFormat="1" ht="24" thickTop="1" thickBot="1" x14ac:dyDescent="0.3">
      <c r="B226" s="18"/>
      <c r="C226" s="40"/>
      <c r="D226" s="298"/>
      <c r="E226" s="300"/>
      <c r="F226" s="308"/>
      <c r="G226" s="110"/>
      <c r="H226" s="81"/>
      <c r="I226" s="300"/>
      <c r="J226" s="303"/>
      <c r="K226" s="324"/>
      <c r="L226" s="262"/>
      <c r="M226" s="263"/>
      <c r="N226" s="67" t="s">
        <v>210</v>
      </c>
      <c r="O226" s="200" t="s">
        <v>50</v>
      </c>
      <c r="P226" s="162"/>
      <c r="Q226" s="163"/>
      <c r="R226" s="399"/>
      <c r="S226" s="388"/>
      <c r="T226" s="467"/>
      <c r="U226" s="468"/>
      <c r="V226" s="613"/>
      <c r="W226" s="676"/>
      <c r="X226" s="475"/>
      <c r="Y226" s="469"/>
    </row>
    <row r="227" spans="1:27" s="1" customFormat="1" ht="17" thickTop="1" thickBot="1" x14ac:dyDescent="0.3">
      <c r="B227" s="18"/>
      <c r="C227" s="40"/>
      <c r="D227" s="298"/>
      <c r="E227" s="300"/>
      <c r="F227" s="308"/>
      <c r="G227" s="110"/>
      <c r="H227" s="81"/>
      <c r="I227" s="300"/>
      <c r="J227" s="306"/>
      <c r="K227" s="325"/>
      <c r="L227" s="264"/>
      <c r="M227" s="350"/>
      <c r="N227" s="436" t="s">
        <v>120</v>
      </c>
      <c r="O227" s="437" t="s">
        <v>49</v>
      </c>
      <c r="P227" s="165"/>
      <c r="Q227" s="153"/>
      <c r="R227" s="396"/>
      <c r="S227" s="388"/>
      <c r="T227" s="569" t="s">
        <v>479</v>
      </c>
      <c r="U227" s="570" t="s">
        <v>161</v>
      </c>
      <c r="V227" s="617">
        <v>1</v>
      </c>
      <c r="W227" s="677">
        <v>0</v>
      </c>
      <c r="X227" s="575"/>
      <c r="Y227" s="572">
        <f t="shared" si="4"/>
        <v>1</v>
      </c>
    </row>
    <row r="228" spans="1:27" s="1" customFormat="1" ht="23.5" thickTop="1" x14ac:dyDescent="0.25">
      <c r="B228" s="18"/>
      <c r="C228" s="40"/>
      <c r="D228" s="301"/>
      <c r="E228" s="300"/>
      <c r="F228" s="310"/>
      <c r="G228" s="110"/>
      <c r="H228" s="84"/>
      <c r="I228" s="300"/>
      <c r="J228" s="67" t="s">
        <v>295</v>
      </c>
      <c r="K228" s="77" t="s">
        <v>50</v>
      </c>
      <c r="L228" s="192" t="s">
        <v>119</v>
      </c>
      <c r="M228" s="193"/>
      <c r="N228" s="192"/>
      <c r="O228" s="193"/>
      <c r="P228" s="378"/>
      <c r="Q228" s="379"/>
      <c r="R228" s="399"/>
      <c r="S228" s="388"/>
      <c r="T228" s="467"/>
      <c r="U228" s="468"/>
      <c r="V228" s="613"/>
      <c r="W228" s="676"/>
      <c r="X228" s="475"/>
      <c r="Y228" s="469"/>
    </row>
    <row r="229" spans="1:27" s="1" customFormat="1" ht="7" customHeight="1" x14ac:dyDescent="0.25">
      <c r="A229" s="127"/>
      <c r="B229" s="18"/>
      <c r="C229" s="40"/>
      <c r="D229" s="418"/>
      <c r="E229" s="419"/>
      <c r="F229" s="420"/>
      <c r="G229" s="419"/>
      <c r="H229" s="421"/>
      <c r="I229" s="419"/>
      <c r="J229" s="422"/>
      <c r="K229" s="423"/>
      <c r="L229" s="424"/>
      <c r="M229" s="419"/>
      <c r="N229" s="424"/>
      <c r="O229" s="419"/>
      <c r="P229" s="425"/>
      <c r="Q229" s="426"/>
      <c r="R229" s="426"/>
      <c r="S229" s="427"/>
      <c r="T229" s="428"/>
      <c r="U229" s="429"/>
      <c r="V229" s="627"/>
      <c r="W229" s="690"/>
      <c r="X229" s="477"/>
      <c r="Y229" s="430">
        <f t="shared" si="4"/>
        <v>0</v>
      </c>
      <c r="Z229" s="127"/>
    </row>
    <row r="230" spans="1:27" s="1" customFormat="1" ht="27" thickBot="1" x14ac:dyDescent="0.3">
      <c r="B230" s="18"/>
      <c r="C230" s="40"/>
      <c r="D230" s="51" t="s">
        <v>131</v>
      </c>
      <c r="E230" s="318" t="s">
        <v>49</v>
      </c>
      <c r="F230" s="195"/>
      <c r="G230" s="196"/>
      <c r="H230" s="219"/>
      <c r="I230" s="177"/>
      <c r="J230" s="212"/>
      <c r="K230" s="177"/>
      <c r="L230" s="281"/>
      <c r="M230" s="282"/>
      <c r="N230" s="281"/>
      <c r="O230" s="282"/>
      <c r="P230" s="380"/>
      <c r="Q230" s="381"/>
      <c r="R230" s="400"/>
      <c r="S230" s="390"/>
      <c r="T230" s="547" t="s">
        <v>331</v>
      </c>
      <c r="U230" s="548" t="s">
        <v>70</v>
      </c>
      <c r="V230" s="622">
        <f>COUNTIF(D230:S299, "M")</f>
        <v>33</v>
      </c>
      <c r="W230" s="656">
        <f>COUNTIF(D230:S299, "Z")</f>
        <v>37</v>
      </c>
      <c r="X230" s="549"/>
      <c r="Y230" s="550">
        <f t="shared" si="4"/>
        <v>70</v>
      </c>
      <c r="Z230" s="4"/>
      <c r="AA230" s="4"/>
    </row>
    <row r="231" spans="1:27" s="1" customFormat="1" ht="17" thickTop="1" thickBot="1" x14ac:dyDescent="0.3">
      <c r="B231" s="18"/>
      <c r="C231" s="40"/>
      <c r="D231" s="51"/>
      <c r="E231" s="318"/>
      <c r="F231" s="364" t="s">
        <v>296</v>
      </c>
      <c r="G231" s="200" t="s">
        <v>50</v>
      </c>
      <c r="H231" s="194"/>
      <c r="I231" s="175"/>
      <c r="J231" s="194"/>
      <c r="K231" s="175"/>
      <c r="L231" s="162"/>
      <c r="M231" s="163"/>
      <c r="N231" s="162"/>
      <c r="O231" s="163"/>
      <c r="P231" s="162"/>
      <c r="Q231" s="163"/>
      <c r="R231" s="399"/>
      <c r="S231" s="388"/>
      <c r="T231" s="491"/>
      <c r="U231" s="492"/>
      <c r="V231" s="615"/>
      <c r="W231" s="664"/>
      <c r="X231" s="493"/>
      <c r="Y231" s="494"/>
    </row>
    <row r="232" spans="1:27" s="1" customFormat="1" ht="17" thickTop="1" thickBot="1" x14ac:dyDescent="0.3">
      <c r="B232" s="18"/>
      <c r="C232" s="40"/>
      <c r="D232" s="51"/>
      <c r="E232" s="324"/>
      <c r="F232" s="67" t="s">
        <v>71</v>
      </c>
      <c r="G232" s="200" t="s">
        <v>50</v>
      </c>
      <c r="H232" s="194"/>
      <c r="I232" s="175"/>
      <c r="J232" s="194"/>
      <c r="K232" s="175"/>
      <c r="L232" s="162"/>
      <c r="M232" s="163"/>
      <c r="N232" s="162"/>
      <c r="O232" s="163"/>
      <c r="P232" s="162"/>
      <c r="Q232" s="163"/>
      <c r="R232" s="399"/>
      <c r="S232" s="388"/>
      <c r="T232" s="495"/>
      <c r="U232" s="496"/>
      <c r="V232" s="628"/>
      <c r="W232" s="665"/>
      <c r="X232" s="497"/>
      <c r="Y232" s="498"/>
    </row>
    <row r="233" spans="1:27" s="1" customFormat="1" ht="17" thickTop="1" thickBot="1" x14ac:dyDescent="0.3">
      <c r="B233" s="18"/>
      <c r="C233" s="40"/>
      <c r="D233" s="51"/>
      <c r="E233" s="324"/>
      <c r="F233" s="67" t="s">
        <v>297</v>
      </c>
      <c r="G233" s="200" t="s">
        <v>50</v>
      </c>
      <c r="H233" s="194"/>
      <c r="I233" s="175"/>
      <c r="J233" s="194"/>
      <c r="K233" s="175"/>
      <c r="L233" s="162"/>
      <c r="M233" s="163"/>
      <c r="N233" s="162"/>
      <c r="O233" s="163"/>
      <c r="P233" s="162"/>
      <c r="Q233" s="163"/>
      <c r="R233" s="399"/>
      <c r="S233" s="388"/>
      <c r="T233" s="513"/>
      <c r="U233" s="514"/>
      <c r="V233" s="616"/>
      <c r="W233" s="681"/>
      <c r="X233" s="515"/>
      <c r="Y233" s="516"/>
    </row>
    <row r="234" spans="1:27" s="1" customFormat="1" ht="35.5" thickTop="1" thickBot="1" x14ac:dyDescent="0.3">
      <c r="B234" s="18"/>
      <c r="C234" s="40"/>
      <c r="D234" s="51"/>
      <c r="E234" s="324"/>
      <c r="F234" s="298" t="s">
        <v>298</v>
      </c>
      <c r="G234" s="714" t="s">
        <v>49</v>
      </c>
      <c r="H234" s="195"/>
      <c r="I234" s="196"/>
      <c r="J234" s="212"/>
      <c r="K234" s="177"/>
      <c r="L234" s="165"/>
      <c r="M234" s="153"/>
      <c r="N234" s="165"/>
      <c r="O234" s="153"/>
      <c r="P234" s="165"/>
      <c r="Q234" s="153"/>
      <c r="R234" s="400"/>
      <c r="S234" s="390"/>
      <c r="T234" s="103" t="s">
        <v>338</v>
      </c>
      <c r="U234" s="104" t="s">
        <v>174</v>
      </c>
      <c r="V234" s="625">
        <f>COUNTIF(F234:S243, "M")</f>
        <v>3</v>
      </c>
      <c r="W234" s="654">
        <f>COUNTIF(F234:S243, "Z")</f>
        <v>7</v>
      </c>
      <c r="X234" s="105"/>
      <c r="Y234" s="129">
        <f t="shared" si="4"/>
        <v>10</v>
      </c>
    </row>
    <row r="235" spans="1:27" s="1" customFormat="1" ht="17" thickTop="1" thickBot="1" x14ac:dyDescent="0.3">
      <c r="B235" s="18"/>
      <c r="C235" s="40"/>
      <c r="D235" s="51"/>
      <c r="E235" s="324"/>
      <c r="F235" s="298"/>
      <c r="G235" s="299"/>
      <c r="H235" s="364" t="s">
        <v>7</v>
      </c>
      <c r="I235" s="200" t="s">
        <v>50</v>
      </c>
      <c r="J235" s="194"/>
      <c r="K235" s="175"/>
      <c r="L235" s="162"/>
      <c r="M235" s="163"/>
      <c r="N235" s="162"/>
      <c r="O235" s="163"/>
      <c r="P235" s="162"/>
      <c r="Q235" s="163"/>
      <c r="R235" s="399"/>
      <c r="S235" s="388"/>
      <c r="T235" s="491"/>
      <c r="U235" s="492"/>
      <c r="V235" s="615"/>
      <c r="W235" s="664"/>
      <c r="X235" s="493"/>
      <c r="Y235" s="494"/>
    </row>
    <row r="236" spans="1:27" s="1" customFormat="1" ht="17" thickTop="1" thickBot="1" x14ac:dyDescent="0.3">
      <c r="B236" s="18"/>
      <c r="C236" s="40"/>
      <c r="D236" s="51"/>
      <c r="E236" s="324"/>
      <c r="F236" s="298"/>
      <c r="G236" s="300"/>
      <c r="H236" s="67" t="s">
        <v>72</v>
      </c>
      <c r="I236" s="200" t="s">
        <v>50</v>
      </c>
      <c r="J236" s="194"/>
      <c r="K236" s="175"/>
      <c r="L236" s="162"/>
      <c r="M236" s="163"/>
      <c r="N236" s="162"/>
      <c r="O236" s="163"/>
      <c r="P236" s="162"/>
      <c r="Q236" s="163"/>
      <c r="R236" s="399"/>
      <c r="S236" s="388"/>
      <c r="T236" s="495"/>
      <c r="U236" s="496"/>
      <c r="V236" s="628"/>
      <c r="W236" s="665"/>
      <c r="X236" s="497"/>
      <c r="Y236" s="498"/>
      <c r="AA236" s="19"/>
    </row>
    <row r="237" spans="1:27" s="1" customFormat="1" ht="17" thickTop="1" thickBot="1" x14ac:dyDescent="0.3">
      <c r="B237" s="18"/>
      <c r="C237" s="40"/>
      <c r="D237" s="51"/>
      <c r="E237" s="324"/>
      <c r="F237" s="298"/>
      <c r="G237" s="300"/>
      <c r="H237" s="67" t="s">
        <v>6</v>
      </c>
      <c r="I237" s="200" t="s">
        <v>50</v>
      </c>
      <c r="J237" s="194"/>
      <c r="K237" s="175"/>
      <c r="L237" s="162"/>
      <c r="M237" s="163"/>
      <c r="N237" s="162"/>
      <c r="O237" s="163"/>
      <c r="P237" s="162"/>
      <c r="Q237" s="163"/>
      <c r="R237" s="399"/>
      <c r="S237" s="388"/>
      <c r="T237" s="513"/>
      <c r="U237" s="514"/>
      <c r="V237" s="616"/>
      <c r="W237" s="681"/>
      <c r="X237" s="515"/>
      <c r="Y237" s="516"/>
    </row>
    <row r="238" spans="1:27" s="1" customFormat="1" ht="17" thickTop="1" thickBot="1" x14ac:dyDescent="0.3">
      <c r="B238" s="18"/>
      <c r="C238" s="40"/>
      <c r="D238" s="51"/>
      <c r="E238" s="324"/>
      <c r="F238" s="298"/>
      <c r="G238" s="300"/>
      <c r="H238" s="436" t="s">
        <v>0</v>
      </c>
      <c r="I238" s="437" t="s">
        <v>49</v>
      </c>
      <c r="J238" s="194"/>
      <c r="K238" s="175"/>
      <c r="L238" s="162"/>
      <c r="M238" s="163"/>
      <c r="N238" s="162"/>
      <c r="O238" s="163"/>
      <c r="P238" s="162"/>
      <c r="Q238" s="163"/>
      <c r="R238" s="399"/>
      <c r="S238" s="388"/>
      <c r="T238" s="569" t="s">
        <v>356</v>
      </c>
      <c r="U238" s="585" t="s">
        <v>0</v>
      </c>
      <c r="V238" s="609">
        <v>1</v>
      </c>
      <c r="W238" s="673">
        <v>0</v>
      </c>
      <c r="X238" s="571"/>
      <c r="Y238" s="572">
        <f t="shared" si="4"/>
        <v>1</v>
      </c>
    </row>
    <row r="239" spans="1:27" s="1" customFormat="1" ht="39.5" customHeight="1" thickTop="1" thickBot="1" x14ac:dyDescent="0.3">
      <c r="B239" s="18" t="s">
        <v>129</v>
      </c>
      <c r="C239" s="40"/>
      <c r="D239" s="51"/>
      <c r="E239" s="318"/>
      <c r="F239" s="298"/>
      <c r="G239" s="299"/>
      <c r="H239" s="303" t="s">
        <v>299</v>
      </c>
      <c r="I239" s="702" t="s">
        <v>49</v>
      </c>
      <c r="J239" s="220"/>
      <c r="K239" s="221"/>
      <c r="L239" s="162"/>
      <c r="M239" s="163"/>
      <c r="N239" s="162"/>
      <c r="O239" s="163"/>
      <c r="P239" s="162"/>
      <c r="Q239" s="163"/>
      <c r="R239" s="399"/>
      <c r="S239" s="388"/>
      <c r="T239" s="547" t="s">
        <v>357</v>
      </c>
      <c r="U239" s="548" t="s">
        <v>30</v>
      </c>
      <c r="V239" s="622">
        <f>COUNTIF(H239:S243, "M")</f>
        <v>1</v>
      </c>
      <c r="W239" s="656">
        <f>COUNTIF(H239:S243, "Z")</f>
        <v>4</v>
      </c>
      <c r="X239" s="549"/>
      <c r="Y239" s="550">
        <f t="shared" si="4"/>
        <v>5</v>
      </c>
    </row>
    <row r="240" spans="1:27" s="1" customFormat="1" ht="17" thickTop="1" thickBot="1" x14ac:dyDescent="0.3">
      <c r="B240" s="18"/>
      <c r="C240" s="40"/>
      <c r="D240" s="51"/>
      <c r="E240" s="318"/>
      <c r="F240" s="298"/>
      <c r="G240" s="299"/>
      <c r="H240" s="303"/>
      <c r="I240" s="318"/>
      <c r="J240" s="67" t="s">
        <v>300</v>
      </c>
      <c r="K240" s="200" t="s">
        <v>50</v>
      </c>
      <c r="L240" s="162"/>
      <c r="M240" s="163"/>
      <c r="N240" s="162"/>
      <c r="O240" s="163"/>
      <c r="P240" s="162"/>
      <c r="Q240" s="163"/>
      <c r="R240" s="399"/>
      <c r="S240" s="388"/>
      <c r="T240" s="491"/>
      <c r="U240" s="492"/>
      <c r="V240" s="615"/>
      <c r="W240" s="664"/>
      <c r="X240" s="493"/>
      <c r="Y240" s="494"/>
    </row>
    <row r="241" spans="2:26" s="1" customFormat="1" ht="17" thickTop="1" thickBot="1" x14ac:dyDescent="0.3">
      <c r="B241" s="18"/>
      <c r="C241" s="40"/>
      <c r="D241" s="51"/>
      <c r="E241" s="324"/>
      <c r="F241" s="298"/>
      <c r="G241" s="300"/>
      <c r="H241" s="303"/>
      <c r="I241" s="318"/>
      <c r="J241" s="67" t="s">
        <v>301</v>
      </c>
      <c r="K241" s="200" t="s">
        <v>50</v>
      </c>
      <c r="L241" s="162"/>
      <c r="M241" s="163"/>
      <c r="N241" s="162"/>
      <c r="O241" s="163"/>
      <c r="P241" s="162"/>
      <c r="Q241" s="163"/>
      <c r="R241" s="399"/>
      <c r="S241" s="388"/>
      <c r="T241" s="495"/>
      <c r="U241" s="496"/>
      <c r="V241" s="628"/>
      <c r="W241" s="665"/>
      <c r="X241" s="497"/>
      <c r="Y241" s="498"/>
    </row>
    <row r="242" spans="2:26" s="1" customFormat="1" ht="17" thickTop="1" thickBot="1" x14ac:dyDescent="0.3">
      <c r="B242" s="18"/>
      <c r="C242" s="40"/>
      <c r="D242" s="51"/>
      <c r="E242" s="324"/>
      <c r="F242" s="298"/>
      <c r="G242" s="300"/>
      <c r="H242" s="303"/>
      <c r="I242" s="324"/>
      <c r="J242" s="67" t="s">
        <v>73</v>
      </c>
      <c r="K242" s="200" t="s">
        <v>50</v>
      </c>
      <c r="L242" s="162"/>
      <c r="M242" s="163"/>
      <c r="N242" s="162"/>
      <c r="O242" s="163"/>
      <c r="P242" s="162"/>
      <c r="Q242" s="163"/>
      <c r="R242" s="399"/>
      <c r="S242" s="388"/>
      <c r="T242" s="495"/>
      <c r="U242" s="496"/>
      <c r="V242" s="628"/>
      <c r="W242" s="665"/>
      <c r="X242" s="497"/>
      <c r="Y242" s="498"/>
    </row>
    <row r="243" spans="2:26" s="1" customFormat="1" ht="17" thickTop="1" thickBot="1" x14ac:dyDescent="0.3">
      <c r="B243" s="18"/>
      <c r="C243" s="40"/>
      <c r="D243" s="51"/>
      <c r="E243" s="324"/>
      <c r="F243" s="301"/>
      <c r="G243" s="300"/>
      <c r="H243" s="303"/>
      <c r="I243" s="325"/>
      <c r="J243" s="75" t="s">
        <v>95</v>
      </c>
      <c r="K243" s="200" t="s">
        <v>50</v>
      </c>
      <c r="L243" s="162"/>
      <c r="M243" s="163"/>
      <c r="N243" s="162"/>
      <c r="O243" s="163"/>
      <c r="P243" s="162"/>
      <c r="Q243" s="163"/>
      <c r="R243" s="399"/>
      <c r="S243" s="388"/>
      <c r="T243" s="495"/>
      <c r="U243" s="496"/>
      <c r="V243" s="628"/>
      <c r="W243" s="665"/>
      <c r="X243" s="497"/>
      <c r="Y243" s="498"/>
    </row>
    <row r="244" spans="2:26" s="1" customFormat="1" ht="17" thickTop="1" thickBot="1" x14ac:dyDescent="0.3">
      <c r="B244" s="18"/>
      <c r="C244" s="40"/>
      <c r="D244" s="51"/>
      <c r="E244" s="324"/>
      <c r="F244" s="67" t="s">
        <v>34</v>
      </c>
      <c r="G244" s="200" t="s">
        <v>50</v>
      </c>
      <c r="H244" s="192"/>
      <c r="I244" s="193"/>
      <c r="J244" s="192"/>
      <c r="K244" s="193"/>
      <c r="L244" s="162"/>
      <c r="M244" s="163"/>
      <c r="N244" s="162"/>
      <c r="O244" s="163"/>
      <c r="P244" s="162"/>
      <c r="Q244" s="163"/>
      <c r="R244" s="399"/>
      <c r="S244" s="388"/>
      <c r="T244" s="495"/>
      <c r="U244" s="496"/>
      <c r="V244" s="628"/>
      <c r="W244" s="665"/>
      <c r="X244" s="497"/>
      <c r="Y244" s="498"/>
    </row>
    <row r="245" spans="2:26" s="1" customFormat="1" ht="24" thickTop="1" thickBot="1" x14ac:dyDescent="0.3">
      <c r="B245" s="18"/>
      <c r="C245" s="40"/>
      <c r="D245" s="51"/>
      <c r="E245" s="324"/>
      <c r="F245" s="67" t="s">
        <v>502</v>
      </c>
      <c r="G245" s="200" t="s">
        <v>50</v>
      </c>
      <c r="H245" s="194"/>
      <c r="I245" s="175"/>
      <c r="J245" s="194"/>
      <c r="K245" s="175"/>
      <c r="L245" s="162"/>
      <c r="M245" s="163"/>
      <c r="N245" s="162"/>
      <c r="O245" s="163"/>
      <c r="P245" s="162"/>
      <c r="Q245" s="163"/>
      <c r="R245" s="399"/>
      <c r="S245" s="388"/>
      <c r="T245" s="513"/>
      <c r="U245" s="514"/>
      <c r="V245" s="616"/>
      <c r="W245" s="681"/>
      <c r="X245" s="515"/>
      <c r="Y245" s="516"/>
    </row>
    <row r="246" spans="2:26" s="1" customFormat="1" ht="35.5" thickTop="1" thickBot="1" x14ac:dyDescent="0.3">
      <c r="B246" s="18"/>
      <c r="C246" s="40"/>
      <c r="D246" s="51"/>
      <c r="E246" s="324"/>
      <c r="F246" s="31" t="s">
        <v>302</v>
      </c>
      <c r="G246" s="718" t="s">
        <v>49</v>
      </c>
      <c r="H246" s="195"/>
      <c r="I246" s="196"/>
      <c r="J246" s="212"/>
      <c r="K246" s="177"/>
      <c r="L246" s="165"/>
      <c r="M246" s="153"/>
      <c r="N246" s="165"/>
      <c r="O246" s="153"/>
      <c r="P246" s="165"/>
      <c r="Q246" s="153"/>
      <c r="R246" s="400"/>
      <c r="S246" s="390"/>
      <c r="T246" s="106" t="s">
        <v>339</v>
      </c>
      <c r="U246" s="107" t="s">
        <v>175</v>
      </c>
      <c r="V246" s="614">
        <f>COUNTIF(F246:S265, "M")</f>
        <v>10</v>
      </c>
      <c r="W246" s="655">
        <f>COUNTIF(F246:S265, "Z")</f>
        <v>10</v>
      </c>
      <c r="X246" s="108"/>
      <c r="Y246" s="133">
        <f t="shared" si="4"/>
        <v>20</v>
      </c>
      <c r="Z246" s="4"/>
    </row>
    <row r="247" spans="2:26" s="1" customFormat="1" ht="17" thickTop="1" thickBot="1" x14ac:dyDescent="0.3">
      <c r="B247" s="18"/>
      <c r="C247" s="40"/>
      <c r="D247" s="51"/>
      <c r="E247" s="324"/>
      <c r="F247" s="31"/>
      <c r="G247" s="47"/>
      <c r="H247" s="67" t="s">
        <v>303</v>
      </c>
      <c r="I247" s="200" t="s">
        <v>50</v>
      </c>
      <c r="J247" s="194"/>
      <c r="K247" s="175"/>
      <c r="L247" s="162"/>
      <c r="M247" s="163"/>
      <c r="N247" s="162"/>
      <c r="O247" s="163"/>
      <c r="P247" s="162"/>
      <c r="Q247" s="163"/>
      <c r="R247" s="399"/>
      <c r="S247" s="388"/>
      <c r="T247" s="467"/>
      <c r="U247" s="468"/>
      <c r="V247" s="613"/>
      <c r="W247" s="676"/>
      <c r="X247" s="475"/>
      <c r="Y247" s="469"/>
    </row>
    <row r="248" spans="2:26" s="1" customFormat="1" ht="42" customHeight="1" thickTop="1" thickBot="1" x14ac:dyDescent="0.3">
      <c r="B248" s="18"/>
      <c r="C248" s="40"/>
      <c r="D248" s="51"/>
      <c r="E248" s="324"/>
      <c r="F248" s="31"/>
      <c r="G248" s="48"/>
      <c r="H248" s="50" t="s">
        <v>304</v>
      </c>
      <c r="I248" s="59" t="s">
        <v>49</v>
      </c>
      <c r="J248" s="222"/>
      <c r="K248" s="223"/>
      <c r="L248" s="162"/>
      <c r="M248" s="163"/>
      <c r="N248" s="162"/>
      <c r="O248" s="153"/>
      <c r="P248" s="165"/>
      <c r="Q248" s="153"/>
      <c r="R248" s="396"/>
      <c r="S248" s="388"/>
      <c r="T248" s="547" t="s">
        <v>358</v>
      </c>
      <c r="U248" s="548" t="s">
        <v>142</v>
      </c>
      <c r="V248" s="622">
        <f>COUNTIF(H248:S250, "M")</f>
        <v>2</v>
      </c>
      <c r="W248" s="656">
        <f>COUNTIF(H248:S250, "Z")</f>
        <v>1</v>
      </c>
      <c r="X248" s="549"/>
      <c r="Y248" s="550">
        <f t="shared" si="4"/>
        <v>3</v>
      </c>
    </row>
    <row r="249" spans="2:26" s="1" customFormat="1" ht="17" thickTop="1" thickBot="1" x14ac:dyDescent="0.3">
      <c r="B249" s="18"/>
      <c r="C249" s="40"/>
      <c r="D249" s="51"/>
      <c r="E249" s="324"/>
      <c r="F249" s="31"/>
      <c r="G249" s="48"/>
      <c r="H249" s="30"/>
      <c r="I249" s="59"/>
      <c r="J249" s="436" t="s">
        <v>53</v>
      </c>
      <c r="K249" s="437" t="s">
        <v>49</v>
      </c>
      <c r="L249" s="162"/>
      <c r="M249" s="163"/>
      <c r="N249" s="162"/>
      <c r="O249" s="153"/>
      <c r="P249" s="165"/>
      <c r="Q249" s="153"/>
      <c r="R249" s="396"/>
      <c r="S249" s="388"/>
      <c r="T249" s="569" t="s">
        <v>402</v>
      </c>
      <c r="U249" s="570" t="s">
        <v>53</v>
      </c>
      <c r="V249" s="617">
        <v>1</v>
      </c>
      <c r="W249" s="677">
        <v>0</v>
      </c>
      <c r="X249" s="575"/>
      <c r="Y249" s="572">
        <f t="shared" si="4"/>
        <v>1</v>
      </c>
    </row>
    <row r="250" spans="2:26" s="1" customFormat="1" ht="17" thickTop="1" thickBot="1" x14ac:dyDescent="0.3">
      <c r="B250" s="18"/>
      <c r="C250" s="40"/>
      <c r="D250" s="51"/>
      <c r="E250" s="324"/>
      <c r="F250" s="31"/>
      <c r="G250" s="48"/>
      <c r="H250" s="52"/>
      <c r="I250" s="197"/>
      <c r="J250" s="67" t="s">
        <v>74</v>
      </c>
      <c r="K250" s="200" t="s">
        <v>50</v>
      </c>
      <c r="L250" s="162"/>
      <c r="M250" s="163"/>
      <c r="N250" s="162"/>
      <c r="O250" s="163"/>
      <c r="P250" s="162"/>
      <c r="Q250" s="163"/>
      <c r="R250" s="399"/>
      <c r="S250" s="388"/>
      <c r="T250" s="467"/>
      <c r="U250" s="468"/>
      <c r="V250" s="613"/>
      <c r="W250" s="676"/>
      <c r="X250" s="475"/>
      <c r="Y250" s="469"/>
    </row>
    <row r="251" spans="2:26" s="1" customFormat="1" ht="47" thickTop="1" thickBot="1" x14ac:dyDescent="0.3">
      <c r="B251" s="18"/>
      <c r="C251" s="40"/>
      <c r="D251" s="51"/>
      <c r="E251" s="324"/>
      <c r="F251" s="31"/>
      <c r="G251" s="48"/>
      <c r="H251" s="298" t="s">
        <v>496</v>
      </c>
      <c r="I251" s="714" t="s">
        <v>49</v>
      </c>
      <c r="J251" s="217"/>
      <c r="K251" s="218"/>
      <c r="L251" s="165"/>
      <c r="M251" s="153"/>
      <c r="N251" s="165"/>
      <c r="O251" s="153"/>
      <c r="P251" s="165"/>
      <c r="Q251" s="153"/>
      <c r="R251" s="400"/>
      <c r="S251" s="390"/>
      <c r="T251" s="103" t="s">
        <v>359</v>
      </c>
      <c r="U251" s="104" t="s">
        <v>305</v>
      </c>
      <c r="V251" s="625">
        <f>COUNTIF(H251:S258, "M")</f>
        <v>2</v>
      </c>
      <c r="W251" s="654">
        <f>COUNTIF(H251:S258, "Z")</f>
        <v>6</v>
      </c>
      <c r="X251" s="105"/>
      <c r="Y251" s="129">
        <f t="shared" si="4"/>
        <v>8</v>
      </c>
      <c r="Z251" s="19"/>
    </row>
    <row r="252" spans="2:26" s="1" customFormat="1" ht="27.5" thickTop="1" thickBot="1" x14ac:dyDescent="0.3">
      <c r="B252" s="18" t="s">
        <v>129</v>
      </c>
      <c r="C252" s="40"/>
      <c r="D252" s="51" t="s">
        <v>131</v>
      </c>
      <c r="E252" s="324"/>
      <c r="F252" s="31"/>
      <c r="G252" s="48"/>
      <c r="H252" s="298"/>
      <c r="I252" s="299"/>
      <c r="J252" s="67" t="s">
        <v>33</v>
      </c>
      <c r="K252" s="200" t="s">
        <v>50</v>
      </c>
      <c r="L252" s="162"/>
      <c r="M252" s="163"/>
      <c r="N252" s="162"/>
      <c r="O252" s="163"/>
      <c r="P252" s="162"/>
      <c r="Q252" s="163"/>
      <c r="R252" s="399"/>
      <c r="S252" s="388"/>
      <c r="T252" s="491"/>
      <c r="U252" s="492"/>
      <c r="V252" s="615"/>
      <c r="W252" s="691"/>
      <c r="X252" s="493"/>
      <c r="Y252" s="494"/>
      <c r="Z252" s="19"/>
    </row>
    <row r="253" spans="2:26" s="1" customFormat="1" ht="17" thickTop="1" thickBot="1" x14ac:dyDescent="0.3">
      <c r="B253" s="18"/>
      <c r="C253" s="40"/>
      <c r="D253" s="51"/>
      <c r="E253" s="324"/>
      <c r="F253" s="31"/>
      <c r="G253" s="48"/>
      <c r="H253" s="298"/>
      <c r="I253" s="300"/>
      <c r="J253" s="67" t="s">
        <v>96</v>
      </c>
      <c r="K253" s="200" t="s">
        <v>50</v>
      </c>
      <c r="L253" s="162"/>
      <c r="M253" s="163"/>
      <c r="N253" s="162"/>
      <c r="O253" s="163"/>
      <c r="P253" s="162"/>
      <c r="Q253" s="163"/>
      <c r="R253" s="399"/>
      <c r="S253" s="388"/>
      <c r="T253" s="495"/>
      <c r="U253" s="496"/>
      <c r="V253" s="628"/>
      <c r="W253" s="665"/>
      <c r="X253" s="535"/>
      <c r="Y253" s="536"/>
    </row>
    <row r="254" spans="2:26" s="1" customFormat="1" ht="17" thickTop="1" thickBot="1" x14ac:dyDescent="0.3">
      <c r="B254" s="18"/>
      <c r="C254" s="40"/>
      <c r="D254" s="51"/>
      <c r="E254" s="324"/>
      <c r="F254" s="31"/>
      <c r="G254" s="48"/>
      <c r="H254" s="298"/>
      <c r="I254" s="300"/>
      <c r="J254" s="67" t="s">
        <v>77</v>
      </c>
      <c r="K254" s="200" t="s">
        <v>50</v>
      </c>
      <c r="L254" s="162"/>
      <c r="M254" s="163"/>
      <c r="N254" s="162"/>
      <c r="O254" s="163"/>
      <c r="P254" s="162"/>
      <c r="Q254" s="163"/>
      <c r="R254" s="399"/>
      <c r="S254" s="388"/>
      <c r="T254" s="513"/>
      <c r="U254" s="514"/>
      <c r="V254" s="616"/>
      <c r="W254" s="681"/>
      <c r="X254" s="515"/>
      <c r="Y254" s="516"/>
    </row>
    <row r="255" spans="2:26" s="1" customFormat="1" ht="17" thickTop="1" thickBot="1" x14ac:dyDescent="0.3">
      <c r="B255" s="18"/>
      <c r="C255" s="40"/>
      <c r="D255" s="51"/>
      <c r="E255" s="324"/>
      <c r="F255" s="43"/>
      <c r="G255" s="47"/>
      <c r="H255" s="298"/>
      <c r="I255" s="299"/>
      <c r="J255" s="43" t="s">
        <v>97</v>
      </c>
      <c r="K255" s="265" t="s">
        <v>49</v>
      </c>
      <c r="L255" s="283"/>
      <c r="M255" s="284"/>
      <c r="N255" s="162"/>
      <c r="O255" s="163"/>
      <c r="P255" s="162"/>
      <c r="Q255" s="163"/>
      <c r="R255" s="399"/>
      <c r="S255" s="388"/>
      <c r="T255" s="106" t="s">
        <v>403</v>
      </c>
      <c r="U255" s="109" t="s">
        <v>9</v>
      </c>
      <c r="V255" s="624">
        <f>COUNTIF(J255:S258, "M")</f>
        <v>1</v>
      </c>
      <c r="W255" s="680">
        <f>COUNTIF(J255:S258, "Z")</f>
        <v>3</v>
      </c>
      <c r="X255" s="474"/>
      <c r="Y255" s="133">
        <f t="shared" si="4"/>
        <v>4</v>
      </c>
    </row>
    <row r="256" spans="2:26" s="1" customFormat="1" ht="24" thickTop="1" thickBot="1" x14ac:dyDescent="0.3">
      <c r="B256" s="18"/>
      <c r="C256" s="40"/>
      <c r="D256" s="51"/>
      <c r="E256" s="324"/>
      <c r="F256" s="31"/>
      <c r="G256" s="47"/>
      <c r="H256" s="298"/>
      <c r="I256" s="299"/>
      <c r="J256" s="43"/>
      <c r="K256" s="265"/>
      <c r="L256" s="67" t="s">
        <v>306</v>
      </c>
      <c r="M256" s="200" t="s">
        <v>50</v>
      </c>
      <c r="N256" s="162"/>
      <c r="O256" s="163"/>
      <c r="P256" s="162"/>
      <c r="Q256" s="163"/>
      <c r="R256" s="399"/>
      <c r="S256" s="388"/>
      <c r="T256" s="491"/>
      <c r="U256" s="492"/>
      <c r="V256" s="615"/>
      <c r="W256" s="664"/>
      <c r="X256" s="493"/>
      <c r="Y256" s="494"/>
    </row>
    <row r="257" spans="2:29" s="1" customFormat="1" ht="24" thickTop="1" thickBot="1" x14ac:dyDescent="0.3">
      <c r="B257" s="18"/>
      <c r="C257" s="40"/>
      <c r="D257" s="51"/>
      <c r="E257" s="324"/>
      <c r="F257" s="31"/>
      <c r="G257" s="48"/>
      <c r="H257" s="298"/>
      <c r="I257" s="300"/>
      <c r="J257" s="43"/>
      <c r="K257" s="265"/>
      <c r="L257" s="67" t="s">
        <v>195</v>
      </c>
      <c r="M257" s="200" t="s">
        <v>50</v>
      </c>
      <c r="N257" s="162"/>
      <c r="O257" s="163"/>
      <c r="P257" s="162"/>
      <c r="Q257" s="163"/>
      <c r="R257" s="399"/>
      <c r="S257" s="388"/>
      <c r="T257" s="495"/>
      <c r="U257" s="496"/>
      <c r="V257" s="628"/>
      <c r="W257" s="665"/>
      <c r="X257" s="497"/>
      <c r="Y257" s="498"/>
    </row>
    <row r="258" spans="2:29" s="1" customFormat="1" ht="24" thickTop="1" thickBot="1" x14ac:dyDescent="0.3">
      <c r="B258" s="18"/>
      <c r="C258" s="40"/>
      <c r="D258" s="51"/>
      <c r="E258" s="324"/>
      <c r="F258" s="31"/>
      <c r="G258" s="48"/>
      <c r="H258" s="301"/>
      <c r="I258" s="322"/>
      <c r="J258" s="269"/>
      <c r="K258" s="271"/>
      <c r="L258" s="67" t="s">
        <v>196</v>
      </c>
      <c r="M258" s="200" t="s">
        <v>50</v>
      </c>
      <c r="N258" s="162"/>
      <c r="O258" s="163"/>
      <c r="P258" s="162"/>
      <c r="Q258" s="163"/>
      <c r="R258" s="399"/>
      <c r="S258" s="388"/>
      <c r="T258" s="513"/>
      <c r="U258" s="514"/>
      <c r="V258" s="616"/>
      <c r="W258" s="681"/>
      <c r="X258" s="515"/>
      <c r="Y258" s="516"/>
    </row>
    <row r="259" spans="2:29" s="1" customFormat="1" ht="47" thickTop="1" thickBot="1" x14ac:dyDescent="0.3">
      <c r="B259" s="18"/>
      <c r="C259" s="40"/>
      <c r="D259" s="51"/>
      <c r="E259" s="324"/>
      <c r="F259" s="31"/>
      <c r="G259" s="48"/>
      <c r="H259" s="30" t="s">
        <v>497</v>
      </c>
      <c r="I259" s="701" t="s">
        <v>49</v>
      </c>
      <c r="J259" s="217"/>
      <c r="K259" s="218"/>
      <c r="L259" s="172"/>
      <c r="M259" s="285"/>
      <c r="N259" s="165"/>
      <c r="O259" s="153"/>
      <c r="P259" s="165"/>
      <c r="Q259" s="153"/>
      <c r="R259" s="400"/>
      <c r="S259" s="390"/>
      <c r="T259" s="547" t="s">
        <v>360</v>
      </c>
      <c r="U259" s="548" t="s">
        <v>177</v>
      </c>
      <c r="V259" s="622">
        <f>COUNTIF(H259:S265, "M")</f>
        <v>5</v>
      </c>
      <c r="W259" s="656">
        <f>COUNTIF(H259:S265, "Z")</f>
        <v>2</v>
      </c>
      <c r="X259" s="549"/>
      <c r="Y259" s="550">
        <f t="shared" si="4"/>
        <v>7</v>
      </c>
      <c r="Z259" s="4"/>
      <c r="AA259" s="4"/>
      <c r="AB259" s="4"/>
      <c r="AC259" s="4"/>
    </row>
    <row r="260" spans="2:29" s="1" customFormat="1" ht="35.5" thickTop="1" thickBot="1" x14ac:dyDescent="0.3">
      <c r="B260" s="18"/>
      <c r="C260" s="40"/>
      <c r="D260" s="51"/>
      <c r="E260" s="324"/>
      <c r="F260" s="31"/>
      <c r="G260" s="48"/>
      <c r="H260" s="30"/>
      <c r="I260" s="59"/>
      <c r="J260" s="64" t="s">
        <v>501</v>
      </c>
      <c r="K260" s="709" t="s">
        <v>49</v>
      </c>
      <c r="L260" s="286"/>
      <c r="M260" s="287"/>
      <c r="N260" s="162"/>
      <c r="O260" s="163"/>
      <c r="P260" s="162"/>
      <c r="Q260" s="163"/>
      <c r="R260" s="399"/>
      <c r="S260" s="388"/>
      <c r="T260" s="102" t="s">
        <v>404</v>
      </c>
      <c r="U260" s="111" t="s">
        <v>160</v>
      </c>
      <c r="V260" s="621">
        <f>COUNTIF(J260:S262, "M")</f>
        <v>1</v>
      </c>
      <c r="W260" s="674">
        <f>COUNTIF(J260:S262, "Z")</f>
        <v>2</v>
      </c>
      <c r="X260" s="470"/>
      <c r="Y260" s="134">
        <f t="shared" si="4"/>
        <v>3</v>
      </c>
    </row>
    <row r="261" spans="2:29" s="1" customFormat="1" ht="24" thickTop="1" thickBot="1" x14ac:dyDescent="0.3">
      <c r="B261" s="18"/>
      <c r="C261" s="40"/>
      <c r="D261" s="51"/>
      <c r="E261" s="324"/>
      <c r="F261" s="31"/>
      <c r="G261" s="48"/>
      <c r="H261" s="30"/>
      <c r="I261" s="59"/>
      <c r="J261" s="27"/>
      <c r="K261" s="76"/>
      <c r="L261" s="67" t="s">
        <v>307</v>
      </c>
      <c r="M261" s="200" t="s">
        <v>50</v>
      </c>
      <c r="N261" s="162"/>
      <c r="O261" s="163"/>
      <c r="P261" s="162"/>
      <c r="Q261" s="163"/>
      <c r="R261" s="399"/>
      <c r="S261" s="388"/>
      <c r="T261" s="491"/>
      <c r="U261" s="492"/>
      <c r="V261" s="615"/>
      <c r="W261" s="664"/>
      <c r="X261" s="493"/>
      <c r="Y261" s="494"/>
    </row>
    <row r="262" spans="2:29" s="1" customFormat="1" ht="24" thickTop="1" thickBot="1" x14ac:dyDescent="0.3">
      <c r="B262" s="18"/>
      <c r="C262" s="40"/>
      <c r="D262" s="51"/>
      <c r="E262" s="324"/>
      <c r="F262" s="31"/>
      <c r="G262" s="48"/>
      <c r="H262" s="30"/>
      <c r="I262" s="59"/>
      <c r="J262" s="66"/>
      <c r="K262" s="201"/>
      <c r="L262" s="67" t="s">
        <v>308</v>
      </c>
      <c r="M262" s="200" t="s">
        <v>50</v>
      </c>
      <c r="N262" s="162"/>
      <c r="O262" s="163"/>
      <c r="P262" s="162"/>
      <c r="Q262" s="163"/>
      <c r="R262" s="399"/>
      <c r="S262" s="388"/>
      <c r="T262" s="513"/>
      <c r="U262" s="514"/>
      <c r="V262" s="616"/>
      <c r="W262" s="681"/>
      <c r="X262" s="515"/>
      <c r="Y262" s="516"/>
    </row>
    <row r="263" spans="2:29" s="1" customFormat="1" ht="35.5" thickTop="1" thickBot="1" x14ac:dyDescent="0.3">
      <c r="B263" s="18"/>
      <c r="C263" s="40"/>
      <c r="D263" s="51"/>
      <c r="E263" s="324"/>
      <c r="F263" s="31" t="s">
        <v>302</v>
      </c>
      <c r="G263" s="48"/>
      <c r="H263" s="30"/>
      <c r="I263" s="59"/>
      <c r="J263" s="342" t="s">
        <v>309</v>
      </c>
      <c r="K263" s="708" t="s">
        <v>49</v>
      </c>
      <c r="L263" s="182"/>
      <c r="M263" s="183"/>
      <c r="N263" s="165"/>
      <c r="O263" s="163"/>
      <c r="P263" s="162"/>
      <c r="Q263" s="163"/>
      <c r="R263" s="399"/>
      <c r="S263" s="388"/>
      <c r="T263" s="106" t="s">
        <v>405</v>
      </c>
      <c r="U263" s="109" t="s">
        <v>179</v>
      </c>
      <c r="V263" s="624">
        <f>COUNTIF(J263:S265, "M")</f>
        <v>3</v>
      </c>
      <c r="W263" s="680">
        <f>COUNTIF(J263:S265, "Z")</f>
        <v>0</v>
      </c>
      <c r="X263" s="474"/>
      <c r="Y263" s="133">
        <f t="shared" si="4"/>
        <v>3</v>
      </c>
    </row>
    <row r="264" spans="2:29" s="1" customFormat="1" ht="17" thickTop="1" thickBot="1" x14ac:dyDescent="0.3">
      <c r="B264" s="18"/>
      <c r="C264" s="40"/>
      <c r="D264" s="51"/>
      <c r="E264" s="324"/>
      <c r="F264" s="31"/>
      <c r="G264" s="48"/>
      <c r="H264" s="30"/>
      <c r="I264" s="60"/>
      <c r="J264" s="344"/>
      <c r="K264" s="265"/>
      <c r="L264" s="436" t="s">
        <v>121</v>
      </c>
      <c r="M264" s="437" t="s">
        <v>49</v>
      </c>
      <c r="N264" s="165"/>
      <c r="O264" s="153"/>
      <c r="P264" s="165"/>
      <c r="Q264" s="153"/>
      <c r="R264" s="396"/>
      <c r="S264" s="388"/>
      <c r="T264" s="569" t="s">
        <v>447</v>
      </c>
      <c r="U264" s="570" t="s">
        <v>180</v>
      </c>
      <c r="V264" s="617">
        <v>1</v>
      </c>
      <c r="W264" s="677">
        <v>0</v>
      </c>
      <c r="X264" s="575"/>
      <c r="Y264" s="572">
        <f t="shared" si="4"/>
        <v>1</v>
      </c>
    </row>
    <row r="265" spans="2:29" s="1" customFormat="1" ht="27.5" thickTop="1" thickBot="1" x14ac:dyDescent="0.3">
      <c r="B265" s="18" t="s">
        <v>129</v>
      </c>
      <c r="C265" s="40"/>
      <c r="D265" s="51" t="s">
        <v>131</v>
      </c>
      <c r="E265" s="324"/>
      <c r="F265" s="44"/>
      <c r="G265" s="48"/>
      <c r="H265" s="337"/>
      <c r="I265" s="197"/>
      <c r="J265" s="345"/>
      <c r="K265" s="271"/>
      <c r="L265" s="436" t="s">
        <v>122</v>
      </c>
      <c r="M265" s="437" t="s">
        <v>49</v>
      </c>
      <c r="N265" s="165"/>
      <c r="O265" s="153"/>
      <c r="P265" s="165"/>
      <c r="Q265" s="153"/>
      <c r="R265" s="396"/>
      <c r="S265" s="388"/>
      <c r="T265" s="569" t="s">
        <v>448</v>
      </c>
      <c r="U265" s="570" t="s">
        <v>181</v>
      </c>
      <c r="V265" s="617">
        <v>1</v>
      </c>
      <c r="W265" s="677">
        <v>0</v>
      </c>
      <c r="X265" s="575"/>
      <c r="Y265" s="572">
        <f t="shared" si="4"/>
        <v>1</v>
      </c>
    </row>
    <row r="266" spans="2:29" s="1" customFormat="1" ht="41" customHeight="1" thickTop="1" thickBot="1" x14ac:dyDescent="0.3">
      <c r="B266" s="18"/>
      <c r="C266" s="40"/>
      <c r="D266" s="51"/>
      <c r="E266" s="324"/>
      <c r="F266" s="65" t="s">
        <v>310</v>
      </c>
      <c r="G266" s="707" t="s">
        <v>49</v>
      </c>
      <c r="H266" s="138"/>
      <c r="I266" s="139"/>
      <c r="J266" s="203"/>
      <c r="K266" s="204"/>
      <c r="L266" s="241"/>
      <c r="M266" s="242"/>
      <c r="N266" s="165"/>
      <c r="O266" s="153"/>
      <c r="P266" s="165"/>
      <c r="Q266" s="153"/>
      <c r="R266" s="400"/>
      <c r="S266" s="390"/>
      <c r="T266" s="102" t="s">
        <v>340</v>
      </c>
      <c r="U266" s="564" t="s">
        <v>311</v>
      </c>
      <c r="V266" s="612">
        <f>COUNTIF(F266:S287, "M")</f>
        <v>13</v>
      </c>
      <c r="W266" s="668">
        <f>COUNTIF(F266:S287, "Z")</f>
        <v>9</v>
      </c>
      <c r="X266" s="112"/>
      <c r="Y266" s="134">
        <f t="shared" si="4"/>
        <v>22</v>
      </c>
    </row>
    <row r="267" spans="2:29" s="1" customFormat="1" ht="24" thickTop="1" thickBot="1" x14ac:dyDescent="0.3">
      <c r="B267" s="18"/>
      <c r="C267" s="40"/>
      <c r="D267" s="51"/>
      <c r="E267" s="324"/>
      <c r="F267" s="65"/>
      <c r="G267" s="110"/>
      <c r="H267" s="67" t="s">
        <v>312</v>
      </c>
      <c r="I267" s="200" t="s">
        <v>50</v>
      </c>
      <c r="J267" s="224"/>
      <c r="K267" s="225"/>
      <c r="L267" s="152"/>
      <c r="M267" s="243"/>
      <c r="N267" s="165"/>
      <c r="O267" s="153"/>
      <c r="P267" s="165"/>
      <c r="Q267" s="153"/>
      <c r="R267" s="396"/>
      <c r="S267" s="388"/>
      <c r="T267" s="467"/>
      <c r="U267" s="527"/>
      <c r="V267" s="613"/>
      <c r="W267" s="676"/>
      <c r="X267" s="475"/>
      <c r="Y267" s="469"/>
    </row>
    <row r="268" spans="2:29" s="1" customFormat="1" ht="58.5" thickTop="1" thickBot="1" x14ac:dyDescent="0.3">
      <c r="B268" s="18"/>
      <c r="C268" s="40"/>
      <c r="D268" s="51"/>
      <c r="E268" s="324"/>
      <c r="F268" s="65"/>
      <c r="G268" s="110"/>
      <c r="H268" s="298" t="s">
        <v>498</v>
      </c>
      <c r="I268" s="714" t="s">
        <v>49</v>
      </c>
      <c r="J268" s="148"/>
      <c r="K268" s="149"/>
      <c r="L268" s="152"/>
      <c r="M268" s="243"/>
      <c r="N268" s="165"/>
      <c r="O268" s="153"/>
      <c r="P268" s="165"/>
      <c r="Q268" s="153"/>
      <c r="R268" s="400"/>
      <c r="S268" s="390"/>
      <c r="T268" s="103" t="s">
        <v>361</v>
      </c>
      <c r="U268" s="104" t="s">
        <v>178</v>
      </c>
      <c r="V268" s="625">
        <f>COUNTIF(H268:S284, "M")</f>
        <v>11</v>
      </c>
      <c r="W268" s="654">
        <f>COUNTIF(H268:S284, "Z")</f>
        <v>6</v>
      </c>
      <c r="X268" s="105"/>
      <c r="Y268" s="129">
        <f t="shared" si="4"/>
        <v>17</v>
      </c>
      <c r="Z268" s="4"/>
      <c r="AA268" s="4"/>
    </row>
    <row r="269" spans="2:29" s="1" customFormat="1" ht="35.5" thickTop="1" thickBot="1" x14ac:dyDescent="0.3">
      <c r="B269" s="18"/>
      <c r="C269" s="40"/>
      <c r="D269" s="51"/>
      <c r="E269" s="324"/>
      <c r="F269" s="65"/>
      <c r="G269" s="110"/>
      <c r="H269" s="590"/>
      <c r="I269" s="591"/>
      <c r="J269" s="452" t="s">
        <v>313</v>
      </c>
      <c r="K269" s="702" t="s">
        <v>49</v>
      </c>
      <c r="L269" s="283"/>
      <c r="M269" s="284"/>
      <c r="N269" s="361"/>
      <c r="O269" s="163"/>
      <c r="P269" s="165"/>
      <c r="Q269" s="153"/>
      <c r="R269" s="396"/>
      <c r="S269" s="388"/>
      <c r="T269" s="547" t="s">
        <v>406</v>
      </c>
      <c r="U269" s="573" t="s">
        <v>183</v>
      </c>
      <c r="V269" s="619">
        <f>COUNTIF(J269:S274, "M")</f>
        <v>3</v>
      </c>
      <c r="W269" s="675">
        <f>COUNTIF(J269:S274, "Z")</f>
        <v>3</v>
      </c>
      <c r="X269" s="574"/>
      <c r="Y269" s="550">
        <f t="shared" si="4"/>
        <v>6</v>
      </c>
    </row>
    <row r="270" spans="2:29" s="1" customFormat="1" ht="24" thickTop="1" thickBot="1" x14ac:dyDescent="0.3">
      <c r="B270" s="18"/>
      <c r="C270" s="40"/>
      <c r="D270" s="51"/>
      <c r="E270" s="324"/>
      <c r="F270" s="65"/>
      <c r="G270" s="110"/>
      <c r="H270" s="590"/>
      <c r="I270" s="591"/>
      <c r="J270" s="51"/>
      <c r="K270" s="318"/>
      <c r="L270" s="67" t="s">
        <v>197</v>
      </c>
      <c r="M270" s="200" t="s">
        <v>50</v>
      </c>
      <c r="N270" s="361"/>
      <c r="O270" s="163"/>
      <c r="P270" s="165"/>
      <c r="Q270" s="153"/>
      <c r="R270" s="396"/>
      <c r="S270" s="388"/>
      <c r="T270" s="491"/>
      <c r="U270" s="528"/>
      <c r="V270" s="615"/>
      <c r="W270" s="664"/>
      <c r="X270" s="493"/>
      <c r="Y270" s="494"/>
    </row>
    <row r="271" spans="2:29" s="1" customFormat="1" ht="24" thickTop="1" thickBot="1" x14ac:dyDescent="0.3">
      <c r="B271" s="18"/>
      <c r="C271" s="40"/>
      <c r="D271" s="51"/>
      <c r="E271" s="324"/>
      <c r="F271" s="65"/>
      <c r="G271" s="110"/>
      <c r="H271" s="590"/>
      <c r="I271" s="591"/>
      <c r="J271" s="51"/>
      <c r="K271" s="318"/>
      <c r="L271" s="67" t="s">
        <v>314</v>
      </c>
      <c r="M271" s="200" t="s">
        <v>50</v>
      </c>
      <c r="N271" s="162"/>
      <c r="O271" s="163"/>
      <c r="P271" s="165"/>
      <c r="Q271" s="153"/>
      <c r="R271" s="396"/>
      <c r="S271" s="388"/>
      <c r="T271" s="513"/>
      <c r="U271" s="531"/>
      <c r="V271" s="616"/>
      <c r="W271" s="681"/>
      <c r="X271" s="515"/>
      <c r="Y271" s="516"/>
    </row>
    <row r="272" spans="2:29" s="1" customFormat="1" ht="35.5" thickTop="1" thickBot="1" x14ac:dyDescent="0.3">
      <c r="B272" s="18"/>
      <c r="C272" s="40"/>
      <c r="D272" s="51"/>
      <c r="E272" s="324"/>
      <c r="F272" s="65"/>
      <c r="G272" s="110"/>
      <c r="H272" s="590"/>
      <c r="I272" s="591"/>
      <c r="J272" s="51"/>
      <c r="K272" s="318"/>
      <c r="L272" s="329" t="s">
        <v>328</v>
      </c>
      <c r="M272" s="711" t="s">
        <v>49</v>
      </c>
      <c r="N272" s="362"/>
      <c r="O272" s="256"/>
      <c r="P272" s="165"/>
      <c r="Q272" s="153"/>
      <c r="R272" s="396"/>
      <c r="S272" s="388"/>
      <c r="T272" s="102" t="s">
        <v>449</v>
      </c>
      <c r="U272" s="111" t="s">
        <v>329</v>
      </c>
      <c r="V272" s="621">
        <f>COUNTIF(L272:S274, "M")</f>
        <v>2</v>
      </c>
      <c r="W272" s="674">
        <f>COUNTIF(L272:S274, "Z")</f>
        <v>1</v>
      </c>
      <c r="X272" s="470"/>
      <c r="Y272" s="134">
        <f t="shared" si="4"/>
        <v>3</v>
      </c>
    </row>
    <row r="273" spans="2:27" s="1" customFormat="1" ht="24" thickTop="1" thickBot="1" x14ac:dyDescent="0.3">
      <c r="B273" s="18"/>
      <c r="C273" s="40"/>
      <c r="D273" s="51"/>
      <c r="E273" s="324"/>
      <c r="F273" s="65"/>
      <c r="G273" s="260"/>
      <c r="H273" s="298"/>
      <c r="I273" s="300"/>
      <c r="J273" s="51"/>
      <c r="K273" s="318"/>
      <c r="L273" s="294"/>
      <c r="M273" s="260"/>
      <c r="N273" s="67" t="s">
        <v>211</v>
      </c>
      <c r="O273" s="200" t="s">
        <v>50</v>
      </c>
      <c r="P273" s="162"/>
      <c r="Q273" s="163"/>
      <c r="R273" s="399"/>
      <c r="S273" s="388"/>
      <c r="T273" s="467"/>
      <c r="U273" s="468"/>
      <c r="V273" s="613"/>
      <c r="W273" s="676"/>
      <c r="X273" s="475"/>
      <c r="Y273" s="469"/>
    </row>
    <row r="274" spans="2:27" s="1" customFormat="1" ht="17" thickTop="1" thickBot="1" x14ac:dyDescent="0.3">
      <c r="B274" s="18"/>
      <c r="C274" s="40"/>
      <c r="D274" s="51"/>
      <c r="E274" s="324"/>
      <c r="F274" s="65"/>
      <c r="G274" s="260"/>
      <c r="H274" s="298"/>
      <c r="I274" s="300"/>
      <c r="J274" s="337"/>
      <c r="K274" s="320"/>
      <c r="L274" s="339"/>
      <c r="M274" s="297"/>
      <c r="N274" s="436" t="s">
        <v>123</v>
      </c>
      <c r="O274" s="437" t="s">
        <v>49</v>
      </c>
      <c r="P274" s="162"/>
      <c r="Q274" s="163"/>
      <c r="R274" s="399"/>
      <c r="S274" s="388"/>
      <c r="T274" s="569" t="s">
        <v>480</v>
      </c>
      <c r="U274" s="570" t="s">
        <v>140</v>
      </c>
      <c r="V274" s="617">
        <v>1</v>
      </c>
      <c r="W274" s="677">
        <v>0</v>
      </c>
      <c r="X274" s="575"/>
      <c r="Y274" s="572">
        <f t="shared" si="4"/>
        <v>1</v>
      </c>
    </row>
    <row r="275" spans="2:27" s="1" customFormat="1" ht="35.5" thickTop="1" thickBot="1" x14ac:dyDescent="0.3">
      <c r="B275" s="18" t="s">
        <v>129</v>
      </c>
      <c r="C275" s="40"/>
      <c r="D275" s="51" t="s">
        <v>131</v>
      </c>
      <c r="E275" s="324"/>
      <c r="F275" s="65" t="s">
        <v>310</v>
      </c>
      <c r="G275" s="110"/>
      <c r="H275" s="298"/>
      <c r="I275" s="300"/>
      <c r="J275" s="272" t="s">
        <v>315</v>
      </c>
      <c r="K275" s="705" t="s">
        <v>49</v>
      </c>
      <c r="L275" s="226"/>
      <c r="M275" s="227"/>
      <c r="N275" s="207"/>
      <c r="O275" s="208"/>
      <c r="P275" s="162"/>
      <c r="Q275" s="163"/>
      <c r="R275" s="399"/>
      <c r="S275" s="388"/>
      <c r="T275" s="106" t="s">
        <v>407</v>
      </c>
      <c r="U275" s="109" t="s">
        <v>157</v>
      </c>
      <c r="V275" s="624">
        <f>COUNTIF(J275:S278, "M")</f>
        <v>2</v>
      </c>
      <c r="W275" s="680">
        <f>COUNTIF(J275:S278, "Z")</f>
        <v>2</v>
      </c>
      <c r="X275" s="474"/>
      <c r="Y275" s="133">
        <f t="shared" si="4"/>
        <v>4</v>
      </c>
    </row>
    <row r="276" spans="2:27" s="1" customFormat="1" ht="24" thickTop="1" thickBot="1" x14ac:dyDescent="0.3">
      <c r="B276" s="18"/>
      <c r="C276" s="40"/>
      <c r="D276" s="51"/>
      <c r="E276" s="324"/>
      <c r="F276" s="65"/>
      <c r="G276" s="110"/>
      <c r="H276" s="298"/>
      <c r="I276" s="300"/>
      <c r="J276" s="43"/>
      <c r="K276" s="265"/>
      <c r="L276" s="67" t="s">
        <v>198</v>
      </c>
      <c r="M276" s="200" t="s">
        <v>50</v>
      </c>
      <c r="N276" s="162"/>
      <c r="O276" s="163"/>
      <c r="P276" s="162"/>
      <c r="Q276" s="163"/>
      <c r="R276" s="399"/>
      <c r="S276" s="388"/>
      <c r="T276" s="467"/>
      <c r="U276" s="468"/>
      <c r="V276" s="613"/>
      <c r="W276" s="676"/>
      <c r="X276" s="475"/>
      <c r="Y276" s="469"/>
    </row>
    <row r="277" spans="2:27" s="1" customFormat="1" ht="24" thickTop="1" thickBot="1" x14ac:dyDescent="0.3">
      <c r="B277" s="18"/>
      <c r="C277" s="40"/>
      <c r="D277" s="51"/>
      <c r="E277" s="324"/>
      <c r="F277" s="65"/>
      <c r="G277" s="260"/>
      <c r="H277" s="298"/>
      <c r="I277" s="300"/>
      <c r="J277" s="43"/>
      <c r="K277" s="265"/>
      <c r="L277" s="87" t="s">
        <v>124</v>
      </c>
      <c r="M277" s="716" t="s">
        <v>49</v>
      </c>
      <c r="N277" s="283"/>
      <c r="O277" s="284"/>
      <c r="P277" s="162"/>
      <c r="Q277" s="163"/>
      <c r="R277" s="399"/>
      <c r="S277" s="388"/>
      <c r="T277" s="103" t="s">
        <v>450</v>
      </c>
      <c r="U277" s="576" t="s">
        <v>161</v>
      </c>
      <c r="V277" s="618">
        <f>COUNTIF(L277:S278, "M")</f>
        <v>1</v>
      </c>
      <c r="W277" s="678">
        <f>COUNTIF(L277:S278, "Z")</f>
        <v>1</v>
      </c>
      <c r="X277" s="577"/>
      <c r="Y277" s="129">
        <f t="shared" ref="Y277:Y299" si="5">V277+W277+X277</f>
        <v>2</v>
      </c>
    </row>
    <row r="278" spans="2:27" s="1" customFormat="1" ht="24" thickTop="1" thickBot="1" x14ac:dyDescent="0.3">
      <c r="B278" s="18"/>
      <c r="C278" s="40"/>
      <c r="D278" s="51"/>
      <c r="E278" s="324"/>
      <c r="F278" s="65"/>
      <c r="G278" s="260"/>
      <c r="H278" s="298"/>
      <c r="I278" s="300"/>
      <c r="J278" s="269"/>
      <c r="K278" s="271"/>
      <c r="L278" s="301"/>
      <c r="M278" s="258"/>
      <c r="N278" s="67" t="s">
        <v>212</v>
      </c>
      <c r="O278" s="200" t="s">
        <v>50</v>
      </c>
      <c r="P278" s="162"/>
      <c r="Q278" s="163"/>
      <c r="R278" s="399"/>
      <c r="S278" s="388"/>
      <c r="T278" s="491"/>
      <c r="U278" s="492"/>
      <c r="V278" s="615"/>
      <c r="W278" s="664"/>
      <c r="X278" s="493"/>
      <c r="Y278" s="494"/>
    </row>
    <row r="279" spans="2:27" s="1" customFormat="1" ht="58.5" thickTop="1" thickBot="1" x14ac:dyDescent="0.3">
      <c r="B279" s="18"/>
      <c r="C279" s="40"/>
      <c r="D279" s="51"/>
      <c r="E279" s="324"/>
      <c r="F279" s="65"/>
      <c r="G279" s="110"/>
      <c r="H279" s="298" t="s">
        <v>498</v>
      </c>
      <c r="I279" s="299"/>
      <c r="J279" s="67" t="s">
        <v>316</v>
      </c>
      <c r="K279" s="200" t="s">
        <v>50</v>
      </c>
      <c r="L279" s="288"/>
      <c r="M279" s="216"/>
      <c r="N279" s="241"/>
      <c r="O279" s="242"/>
      <c r="P279" s="165"/>
      <c r="Q279" s="163"/>
      <c r="R279" s="399"/>
      <c r="S279" s="388"/>
      <c r="T279" s="513"/>
      <c r="U279" s="514"/>
      <c r="V279" s="616"/>
      <c r="W279" s="681"/>
      <c r="X279" s="515"/>
      <c r="Y279" s="516"/>
    </row>
    <row r="280" spans="2:27" s="1" customFormat="1" ht="35.5" thickTop="1" thickBot="1" x14ac:dyDescent="0.3">
      <c r="B280" s="18"/>
      <c r="C280" s="40"/>
      <c r="D280" s="51"/>
      <c r="E280" s="324"/>
      <c r="F280" s="65"/>
      <c r="G280" s="110"/>
      <c r="H280" s="298"/>
      <c r="I280" s="300"/>
      <c r="J280" s="275" t="s">
        <v>317</v>
      </c>
      <c r="K280" s="711" t="s">
        <v>49</v>
      </c>
      <c r="L280" s="283"/>
      <c r="M280" s="284"/>
      <c r="N280" s="162"/>
      <c r="O280" s="163"/>
      <c r="P280" s="162"/>
      <c r="Q280" s="163"/>
      <c r="R280" s="399"/>
      <c r="S280" s="388"/>
      <c r="T280" s="102" t="s">
        <v>408</v>
      </c>
      <c r="U280" s="111" t="s">
        <v>269</v>
      </c>
      <c r="V280" s="621">
        <f>COUNTIF(J280:S283, "M")</f>
        <v>4</v>
      </c>
      <c r="W280" s="674">
        <f>COUNTIF(J280:S283, "Z")</f>
        <v>0</v>
      </c>
      <c r="X280" s="470"/>
      <c r="Y280" s="134">
        <f t="shared" si="5"/>
        <v>4</v>
      </c>
    </row>
    <row r="281" spans="2:27" s="1" customFormat="1" ht="35.5" thickTop="1" thickBot="1" x14ac:dyDescent="0.3">
      <c r="B281" s="18"/>
      <c r="C281" s="40"/>
      <c r="D281" s="51"/>
      <c r="E281" s="324"/>
      <c r="F281" s="65"/>
      <c r="G281" s="110"/>
      <c r="H281" s="298"/>
      <c r="I281" s="300"/>
      <c r="J281" s="65"/>
      <c r="K281" s="260"/>
      <c r="L281" s="436" t="s">
        <v>318</v>
      </c>
      <c r="M281" s="719" t="s">
        <v>49</v>
      </c>
      <c r="N281" s="162"/>
      <c r="O281" s="163"/>
      <c r="P281" s="162"/>
      <c r="Q281" s="163"/>
      <c r="R281" s="399"/>
      <c r="S281" s="388"/>
      <c r="T281" s="569" t="s">
        <v>451</v>
      </c>
      <c r="U281" s="570" t="s">
        <v>178</v>
      </c>
      <c r="V281" s="617">
        <v>1</v>
      </c>
      <c r="W281" s="677">
        <v>0</v>
      </c>
      <c r="X281" s="575"/>
      <c r="Y281" s="572">
        <f t="shared" si="5"/>
        <v>1</v>
      </c>
    </row>
    <row r="282" spans="2:27" s="1" customFormat="1" ht="35.5" thickTop="1" thickBot="1" x14ac:dyDescent="0.3">
      <c r="B282" s="18"/>
      <c r="C282" s="40"/>
      <c r="D282" s="51"/>
      <c r="E282" s="324"/>
      <c r="F282" s="65"/>
      <c r="G282" s="110"/>
      <c r="H282" s="298"/>
      <c r="I282" s="300"/>
      <c r="J282" s="65"/>
      <c r="K282" s="260"/>
      <c r="L282" s="340" t="s">
        <v>199</v>
      </c>
      <c r="M282" s="715" t="s">
        <v>49</v>
      </c>
      <c r="N282" s="362"/>
      <c r="O282" s="363"/>
      <c r="P282" s="162"/>
      <c r="Q282" s="163"/>
      <c r="R282" s="399"/>
      <c r="S282" s="388"/>
      <c r="T282" s="103" t="s">
        <v>452</v>
      </c>
      <c r="U282" s="576" t="s">
        <v>53</v>
      </c>
      <c r="V282" s="618">
        <f>COUNTIF(L282:S283, "M")</f>
        <v>2</v>
      </c>
      <c r="W282" s="678">
        <f>COUNTIF(L282:S283, "Z")</f>
        <v>0</v>
      </c>
      <c r="X282" s="577"/>
      <c r="Y282" s="129">
        <f t="shared" si="5"/>
        <v>2</v>
      </c>
    </row>
    <row r="283" spans="2:27" s="1" customFormat="1" ht="35.5" thickTop="1" thickBot="1" x14ac:dyDescent="0.3">
      <c r="B283" s="18" t="s">
        <v>129</v>
      </c>
      <c r="C283" s="40"/>
      <c r="D283" s="51" t="s">
        <v>131</v>
      </c>
      <c r="E283" s="324"/>
      <c r="F283" s="65" t="s">
        <v>310</v>
      </c>
      <c r="G283" s="110"/>
      <c r="H283" s="298"/>
      <c r="I283" s="300"/>
      <c r="J283" s="261"/>
      <c r="K283" s="277"/>
      <c r="L283" s="341"/>
      <c r="M283" s="240"/>
      <c r="N283" s="56" t="s">
        <v>125</v>
      </c>
      <c r="O283" s="169" t="s">
        <v>49</v>
      </c>
      <c r="P283" s="162"/>
      <c r="Q283" s="163"/>
      <c r="R283" s="399"/>
      <c r="S283" s="388"/>
      <c r="T283" s="593" t="s">
        <v>481</v>
      </c>
      <c r="U283" s="594" t="s">
        <v>68</v>
      </c>
      <c r="V283" s="629">
        <v>1</v>
      </c>
      <c r="W283" s="692">
        <v>0</v>
      </c>
      <c r="X283" s="595"/>
      <c r="Y283" s="596">
        <f t="shared" si="5"/>
        <v>1</v>
      </c>
    </row>
    <row r="284" spans="2:27" s="1" customFormat="1" ht="17" thickTop="1" thickBot="1" x14ac:dyDescent="0.3">
      <c r="B284" s="18"/>
      <c r="C284" s="40"/>
      <c r="D284" s="51"/>
      <c r="E284" s="324"/>
      <c r="F284" s="588"/>
      <c r="G284" s="110"/>
      <c r="H284" s="458"/>
      <c r="I284" s="322"/>
      <c r="J284" s="436" t="s">
        <v>98</v>
      </c>
      <c r="K284" s="437" t="s">
        <v>49</v>
      </c>
      <c r="L284" s="228"/>
      <c r="M284" s="289"/>
      <c r="N284" s="228"/>
      <c r="O284" s="289"/>
      <c r="P284" s="162"/>
      <c r="Q284" s="163"/>
      <c r="R284" s="399"/>
      <c r="S284" s="388"/>
      <c r="T284" s="569" t="s">
        <v>409</v>
      </c>
      <c r="U284" s="570" t="s">
        <v>25</v>
      </c>
      <c r="V284" s="617">
        <v>1</v>
      </c>
      <c r="W284" s="677">
        <v>0</v>
      </c>
      <c r="X284" s="575"/>
      <c r="Y284" s="572">
        <f t="shared" si="5"/>
        <v>1</v>
      </c>
    </row>
    <row r="285" spans="2:27" s="1" customFormat="1" ht="32.5" thickTop="1" thickBot="1" x14ac:dyDescent="0.3">
      <c r="B285" s="18"/>
      <c r="C285" s="40"/>
      <c r="D285" s="51"/>
      <c r="E285" s="324"/>
      <c r="F285" s="589" t="s">
        <v>488</v>
      </c>
      <c r="G285" s="110"/>
      <c r="H285" s="51" t="s">
        <v>319</v>
      </c>
      <c r="I285" s="702" t="s">
        <v>49</v>
      </c>
      <c r="J285" s="226"/>
      <c r="K285" s="227"/>
      <c r="L285" s="162"/>
      <c r="M285" s="163"/>
      <c r="N285" s="162"/>
      <c r="O285" s="163"/>
      <c r="P285" s="162"/>
      <c r="Q285" s="163"/>
      <c r="R285" s="399"/>
      <c r="S285" s="388"/>
      <c r="T285" s="547" t="s">
        <v>362</v>
      </c>
      <c r="U285" s="548" t="s">
        <v>182</v>
      </c>
      <c r="V285" s="622">
        <f>COUNTIF(H285:S287, "M")</f>
        <v>1</v>
      </c>
      <c r="W285" s="656">
        <f>COUNTIF(H285:S287, "Z")</f>
        <v>2</v>
      </c>
      <c r="X285" s="549"/>
      <c r="Y285" s="550">
        <f t="shared" si="5"/>
        <v>3</v>
      </c>
      <c r="AA285" s="20"/>
    </row>
    <row r="286" spans="2:27" s="1" customFormat="1" ht="18.5" thickTop="1" thickBot="1" x14ac:dyDescent="0.3">
      <c r="B286" s="18"/>
      <c r="C286" s="40"/>
      <c r="D286" s="51"/>
      <c r="E286" s="324"/>
      <c r="F286" s="589"/>
      <c r="G286" s="110"/>
      <c r="H286" s="51"/>
      <c r="I286" s="318"/>
      <c r="J286" s="67" t="s">
        <v>40</v>
      </c>
      <c r="K286" s="200" t="s">
        <v>50</v>
      </c>
      <c r="L286" s="162"/>
      <c r="M286" s="163"/>
      <c r="N286" s="162"/>
      <c r="O286" s="163"/>
      <c r="P286" s="162"/>
      <c r="Q286" s="163"/>
      <c r="R286" s="399"/>
      <c r="S286" s="388"/>
      <c r="T286" s="491"/>
      <c r="U286" s="492"/>
      <c r="V286" s="615"/>
      <c r="W286" s="664"/>
      <c r="X286" s="493"/>
      <c r="Y286" s="494"/>
      <c r="AA286" s="20"/>
    </row>
    <row r="287" spans="2:27" s="1" customFormat="1" ht="17" thickTop="1" thickBot="1" x14ac:dyDescent="0.3">
      <c r="B287" s="18"/>
      <c r="C287" s="40"/>
      <c r="D287" s="51"/>
      <c r="E287" s="324"/>
      <c r="F287" s="261"/>
      <c r="G287" s="297"/>
      <c r="H287" s="592"/>
      <c r="I287" s="325"/>
      <c r="J287" s="67" t="s">
        <v>320</v>
      </c>
      <c r="K287" s="200" t="s">
        <v>50</v>
      </c>
      <c r="L287" s="162"/>
      <c r="M287" s="163"/>
      <c r="N287" s="162"/>
      <c r="O287" s="163"/>
      <c r="P287" s="162"/>
      <c r="Q287" s="163"/>
      <c r="R287" s="399"/>
      <c r="S287" s="388"/>
      <c r="T287" s="513"/>
      <c r="U287" s="514"/>
      <c r="V287" s="616"/>
      <c r="W287" s="681"/>
      <c r="X287" s="515"/>
      <c r="Y287" s="516"/>
    </row>
    <row r="288" spans="2:27" s="1" customFormat="1" ht="47" thickTop="1" thickBot="1" x14ac:dyDescent="0.3">
      <c r="B288" s="18"/>
      <c r="C288" s="40"/>
      <c r="D288" s="51"/>
      <c r="E288" s="324"/>
      <c r="F288" s="31" t="s">
        <v>321</v>
      </c>
      <c r="G288" s="718" t="s">
        <v>49</v>
      </c>
      <c r="H288" s="198"/>
      <c r="I288" s="199"/>
      <c r="J288" s="219"/>
      <c r="K288" s="173"/>
      <c r="L288" s="165"/>
      <c r="M288" s="153"/>
      <c r="N288" s="165"/>
      <c r="O288" s="153"/>
      <c r="P288" s="165"/>
      <c r="Q288" s="153"/>
      <c r="R288" s="400"/>
      <c r="S288" s="390"/>
      <c r="T288" s="106" t="s">
        <v>341</v>
      </c>
      <c r="U288" s="107" t="s">
        <v>322</v>
      </c>
      <c r="V288" s="614">
        <f>COUNTIF(F288:S299, "M")</f>
        <v>6</v>
      </c>
      <c r="W288" s="655">
        <f>COUNTIF(F288:S299, "Z")</f>
        <v>6</v>
      </c>
      <c r="X288" s="108"/>
      <c r="Y288" s="133">
        <f t="shared" si="5"/>
        <v>12</v>
      </c>
    </row>
    <row r="289" spans="2:26" s="1" customFormat="1" ht="17" thickTop="1" thickBot="1" x14ac:dyDescent="0.3">
      <c r="B289" s="18"/>
      <c r="C289" s="40"/>
      <c r="D289" s="51"/>
      <c r="E289" s="324"/>
      <c r="F289" s="31"/>
      <c r="G289" s="47"/>
      <c r="H289" s="436" t="s">
        <v>75</v>
      </c>
      <c r="I289" s="437" t="s">
        <v>49</v>
      </c>
      <c r="J289" s="194"/>
      <c r="K289" s="175"/>
      <c r="L289" s="162"/>
      <c r="M289" s="163"/>
      <c r="N289" s="162"/>
      <c r="O289" s="163"/>
      <c r="P289" s="162"/>
      <c r="Q289" s="163"/>
      <c r="R289" s="399"/>
      <c r="S289" s="388"/>
      <c r="T289" s="569" t="s">
        <v>363</v>
      </c>
      <c r="U289" s="585" t="s">
        <v>75</v>
      </c>
      <c r="V289" s="609">
        <v>1</v>
      </c>
      <c r="W289" s="673">
        <v>0</v>
      </c>
      <c r="X289" s="571"/>
      <c r="Y289" s="572">
        <f t="shared" si="5"/>
        <v>1</v>
      </c>
    </row>
    <row r="290" spans="2:26" s="1" customFormat="1" ht="30.5" customHeight="1" thickTop="1" thickBot="1" x14ac:dyDescent="0.3">
      <c r="B290" s="18"/>
      <c r="C290" s="40"/>
      <c r="D290" s="51"/>
      <c r="E290" s="324"/>
      <c r="F290" s="31"/>
      <c r="G290" s="48"/>
      <c r="H290" s="67" t="s">
        <v>323</v>
      </c>
      <c r="I290" s="200" t="s">
        <v>50</v>
      </c>
      <c r="J290" s="194"/>
      <c r="K290" s="175"/>
      <c r="L290" s="162"/>
      <c r="M290" s="163"/>
      <c r="N290" s="162"/>
      <c r="O290" s="163"/>
      <c r="P290" s="162"/>
      <c r="Q290" s="163"/>
      <c r="R290" s="399"/>
      <c r="S290" s="388"/>
      <c r="T290" s="467"/>
      <c r="U290" s="537"/>
      <c r="V290" s="613"/>
      <c r="W290" s="676"/>
      <c r="X290" s="475"/>
      <c r="Y290" s="469"/>
    </row>
    <row r="291" spans="2:26" s="1" customFormat="1" ht="24" thickTop="1" thickBot="1" x14ac:dyDescent="0.3">
      <c r="B291" s="18"/>
      <c r="C291" s="40"/>
      <c r="D291" s="51"/>
      <c r="E291" s="324"/>
      <c r="F291" s="43"/>
      <c r="G291" s="47"/>
      <c r="H291" s="50" t="s">
        <v>324</v>
      </c>
      <c r="I291" s="59" t="s">
        <v>49</v>
      </c>
      <c r="J291" s="220"/>
      <c r="K291" s="221"/>
      <c r="L291" s="290"/>
      <c r="M291" s="291"/>
      <c r="N291" s="162"/>
      <c r="O291" s="163"/>
      <c r="P291" s="162"/>
      <c r="Q291" s="163"/>
      <c r="R291" s="399"/>
      <c r="S291" s="388"/>
      <c r="T291" s="547" t="s">
        <v>364</v>
      </c>
      <c r="U291" s="548" t="s">
        <v>271</v>
      </c>
      <c r="V291" s="622">
        <f>COUNTIF(H291:S294, "M")</f>
        <v>2</v>
      </c>
      <c r="W291" s="656">
        <f>COUNTIF(H291:S294, "Z")</f>
        <v>2</v>
      </c>
      <c r="X291" s="549"/>
      <c r="Y291" s="550">
        <f t="shared" si="5"/>
        <v>4</v>
      </c>
    </row>
    <row r="292" spans="2:26" s="1" customFormat="1" ht="17" thickTop="1" thickBot="1" x14ac:dyDescent="0.3">
      <c r="B292" s="18"/>
      <c r="C292" s="40"/>
      <c r="D292" s="51"/>
      <c r="E292" s="324"/>
      <c r="F292" s="31"/>
      <c r="G292" s="47"/>
      <c r="H292" s="30"/>
      <c r="I292" s="59"/>
      <c r="J292" s="272" t="s">
        <v>75</v>
      </c>
      <c r="K292" s="343" t="s">
        <v>49</v>
      </c>
      <c r="L292" s="283"/>
      <c r="M292" s="284"/>
      <c r="N292" s="162"/>
      <c r="O292" s="163"/>
      <c r="P292" s="162"/>
      <c r="Q292" s="163"/>
      <c r="R292" s="399"/>
      <c r="S292" s="388"/>
      <c r="T292" s="106" t="s">
        <v>410</v>
      </c>
      <c r="U292" s="109" t="s">
        <v>75</v>
      </c>
      <c r="V292" s="624">
        <f>COUNTIF(J292:S293, "M")</f>
        <v>1</v>
      </c>
      <c r="W292" s="680">
        <f>COUNTIF(J292:S293, "Z")</f>
        <v>1</v>
      </c>
      <c r="X292" s="474"/>
      <c r="Y292" s="133">
        <f t="shared" si="5"/>
        <v>2</v>
      </c>
    </row>
    <row r="293" spans="2:26" s="1" customFormat="1" ht="17" thickTop="1" thickBot="1" x14ac:dyDescent="0.3">
      <c r="B293" s="18"/>
      <c r="C293" s="40"/>
      <c r="D293" s="51"/>
      <c r="E293" s="324"/>
      <c r="F293" s="31"/>
      <c r="G293" s="47"/>
      <c r="H293" s="30"/>
      <c r="I293" s="59"/>
      <c r="J293" s="269"/>
      <c r="K293" s="265"/>
      <c r="L293" s="67" t="s">
        <v>46</v>
      </c>
      <c r="M293" s="200" t="s">
        <v>50</v>
      </c>
      <c r="N293" s="162"/>
      <c r="O293" s="163"/>
      <c r="P293" s="162"/>
      <c r="Q293" s="163"/>
      <c r="R293" s="399"/>
      <c r="S293" s="388"/>
      <c r="T293" s="491"/>
      <c r="U293" s="538"/>
      <c r="V293" s="615"/>
      <c r="W293" s="664"/>
      <c r="X293" s="493"/>
      <c r="Y293" s="494"/>
    </row>
    <row r="294" spans="2:26" s="1" customFormat="1" ht="17" thickTop="1" thickBot="1" x14ac:dyDescent="0.3">
      <c r="B294" s="18"/>
      <c r="C294" s="40"/>
      <c r="D294" s="51"/>
      <c r="E294" s="324"/>
      <c r="F294" s="31"/>
      <c r="G294" s="48"/>
      <c r="H294" s="52"/>
      <c r="I294" s="197"/>
      <c r="J294" s="67" t="s">
        <v>63</v>
      </c>
      <c r="K294" s="200" t="s">
        <v>50</v>
      </c>
      <c r="L294" s="207"/>
      <c r="M294" s="208"/>
      <c r="N294" s="162"/>
      <c r="O294" s="163"/>
      <c r="P294" s="162"/>
      <c r="Q294" s="163"/>
      <c r="R294" s="399"/>
      <c r="S294" s="388"/>
      <c r="T294" s="513"/>
      <c r="U294" s="539"/>
      <c r="V294" s="616"/>
      <c r="W294" s="681"/>
      <c r="X294" s="515"/>
      <c r="Y294" s="516"/>
    </row>
    <row r="295" spans="2:26" s="1" customFormat="1" ht="24" thickTop="1" thickBot="1" x14ac:dyDescent="0.3">
      <c r="B295" s="18"/>
      <c r="C295" s="40"/>
      <c r="D295" s="51"/>
      <c r="E295" s="324"/>
      <c r="F295" s="31"/>
      <c r="G295" s="48"/>
      <c r="H295" s="298" t="s">
        <v>325</v>
      </c>
      <c r="I295" s="714" t="s">
        <v>49</v>
      </c>
      <c r="J295" s="226"/>
      <c r="K295" s="227"/>
      <c r="L295" s="162"/>
      <c r="M295" s="163"/>
      <c r="N295" s="162"/>
      <c r="O295" s="163"/>
      <c r="P295" s="162"/>
      <c r="Q295" s="163"/>
      <c r="R295" s="399"/>
      <c r="S295" s="388"/>
      <c r="T295" s="103" t="s">
        <v>365</v>
      </c>
      <c r="U295" s="104" t="s">
        <v>273</v>
      </c>
      <c r="V295" s="625">
        <f>COUNTIF(H295:S299, "M")</f>
        <v>2</v>
      </c>
      <c r="W295" s="654">
        <f>COUNTIF(H295:S299, "Z")</f>
        <v>3</v>
      </c>
      <c r="X295" s="105"/>
      <c r="Y295" s="129">
        <f t="shared" si="5"/>
        <v>5</v>
      </c>
    </row>
    <row r="296" spans="2:26" s="1" customFormat="1" ht="17" thickTop="1" thickBot="1" x14ac:dyDescent="0.3">
      <c r="B296" s="18"/>
      <c r="C296" s="40"/>
      <c r="D296" s="51"/>
      <c r="E296" s="324"/>
      <c r="F296" s="31"/>
      <c r="G296" s="48"/>
      <c r="H296" s="298"/>
      <c r="I296" s="299"/>
      <c r="J296" s="67" t="s">
        <v>41</v>
      </c>
      <c r="K296" s="200" t="s">
        <v>50</v>
      </c>
      <c r="L296" s="162"/>
      <c r="M296" s="163"/>
      <c r="N296" s="162"/>
      <c r="O296" s="163"/>
      <c r="P296" s="162"/>
      <c r="Q296" s="163"/>
      <c r="R296" s="399"/>
      <c r="S296" s="388"/>
      <c r="T296" s="491"/>
      <c r="U296" s="538"/>
      <c r="V296" s="615"/>
      <c r="W296" s="664"/>
      <c r="X296" s="493"/>
      <c r="Y296" s="494"/>
    </row>
    <row r="297" spans="2:26" s="1" customFormat="1" ht="17" thickTop="1" thickBot="1" x14ac:dyDescent="0.3">
      <c r="B297" s="18"/>
      <c r="C297" s="40"/>
      <c r="D297" s="51"/>
      <c r="E297" s="324"/>
      <c r="F297" s="31"/>
      <c r="G297" s="47"/>
      <c r="H297" s="298"/>
      <c r="I297" s="299"/>
      <c r="J297" s="67" t="s">
        <v>45</v>
      </c>
      <c r="K297" s="200" t="s">
        <v>50</v>
      </c>
      <c r="L297" s="162"/>
      <c r="M297" s="163"/>
      <c r="N297" s="162"/>
      <c r="O297" s="163"/>
      <c r="P297" s="162"/>
      <c r="Q297" s="163"/>
      <c r="R297" s="399"/>
      <c r="S297" s="388"/>
      <c r="T297" s="495"/>
      <c r="U297" s="540"/>
      <c r="V297" s="628"/>
      <c r="W297" s="665"/>
      <c r="X297" s="497"/>
      <c r="Y297" s="498"/>
    </row>
    <row r="298" spans="2:26" s="1" customFormat="1" ht="17" thickTop="1" thickBot="1" x14ac:dyDescent="0.3">
      <c r="B298" s="18"/>
      <c r="C298" s="40"/>
      <c r="D298" s="51"/>
      <c r="E298" s="324"/>
      <c r="F298" s="31"/>
      <c r="G298" s="48"/>
      <c r="H298" s="298"/>
      <c r="I298" s="300"/>
      <c r="J298" s="67" t="s">
        <v>76</v>
      </c>
      <c r="K298" s="200" t="s">
        <v>50</v>
      </c>
      <c r="L298" s="162"/>
      <c r="M298" s="163"/>
      <c r="N298" s="162"/>
      <c r="O298" s="163"/>
      <c r="P298" s="162"/>
      <c r="Q298" s="163"/>
      <c r="R298" s="399"/>
      <c r="S298" s="388"/>
      <c r="T298" s="513"/>
      <c r="U298" s="539"/>
      <c r="V298" s="616"/>
      <c r="W298" s="681"/>
      <c r="X298" s="515"/>
      <c r="Y298" s="516"/>
    </row>
    <row r="299" spans="2:26" s="1" customFormat="1" ht="17" thickTop="1" thickBot="1" x14ac:dyDescent="0.3">
      <c r="B299" s="123"/>
      <c r="C299" s="124"/>
      <c r="D299" s="586"/>
      <c r="E299" s="587"/>
      <c r="F299" s="125"/>
      <c r="G299" s="126"/>
      <c r="H299" s="456"/>
      <c r="I299" s="457"/>
      <c r="J299" s="440" t="s">
        <v>70</v>
      </c>
      <c r="K299" s="441" t="s">
        <v>49</v>
      </c>
      <c r="L299" s="292"/>
      <c r="M299" s="293"/>
      <c r="N299" s="292"/>
      <c r="O299" s="293"/>
      <c r="P299" s="292"/>
      <c r="Q299" s="293"/>
      <c r="R299" s="416"/>
      <c r="S299" s="417"/>
      <c r="T299" s="597" t="s">
        <v>411</v>
      </c>
      <c r="U299" s="598" t="s">
        <v>70</v>
      </c>
      <c r="V299" s="630">
        <v>1</v>
      </c>
      <c r="W299" s="693">
        <v>0</v>
      </c>
      <c r="X299" s="599"/>
      <c r="Y299" s="600">
        <f t="shared" si="5"/>
        <v>1</v>
      </c>
    </row>
    <row r="300" spans="2:26" s="1" customFormat="1" ht="13" thickTop="1" x14ac:dyDescent="0.25">
      <c r="L300" s="26"/>
      <c r="M300" s="26"/>
      <c r="N300" s="26"/>
      <c r="O300" s="26"/>
      <c r="P300" s="26"/>
      <c r="Q300" s="26"/>
      <c r="R300" s="26"/>
    </row>
    <row r="301" spans="2:26" s="1" customFormat="1" ht="16.5" customHeight="1" x14ac:dyDescent="0.25">
      <c r="P301" s="26"/>
      <c r="Q301" s="26"/>
      <c r="R301" s="26"/>
    </row>
    <row r="302" spans="2:26" s="1" customFormat="1" ht="12.5" x14ac:dyDescent="0.25">
      <c r="P302" s="26"/>
      <c r="Q302" s="26"/>
      <c r="R302" s="26"/>
      <c r="W302" s="20"/>
      <c r="Y302" s="20"/>
      <c r="Z302" s="20"/>
    </row>
    <row r="303" spans="2:26" s="1" customFormat="1" ht="27" customHeight="1" x14ac:dyDescent="0.25">
      <c r="Q303" s="26"/>
      <c r="X303" s="20"/>
    </row>
    <row r="304" spans="2:26" s="1" customFormat="1" ht="15.5" x14ac:dyDescent="0.25">
      <c r="B304" s="25"/>
      <c r="C304" s="25"/>
      <c r="E304" s="22"/>
      <c r="G304" s="22"/>
      <c r="I304" s="22"/>
      <c r="K304" s="22"/>
      <c r="M304" s="22"/>
      <c r="O304" s="22"/>
      <c r="Q304" s="36"/>
      <c r="R304" s="22"/>
    </row>
    <row r="305" spans="3:18" s="1" customFormat="1" ht="16.5" customHeight="1" x14ac:dyDescent="0.25">
      <c r="C305" s="22"/>
      <c r="E305" s="22"/>
      <c r="G305" s="22"/>
      <c r="I305" s="22"/>
      <c r="K305" s="22"/>
      <c r="M305" s="22"/>
      <c r="O305" s="22"/>
      <c r="Q305" s="36"/>
      <c r="R305" s="22"/>
    </row>
    <row r="306" spans="3:18" s="1" customFormat="1" x14ac:dyDescent="0.25">
      <c r="C306" s="22"/>
      <c r="E306" s="22"/>
      <c r="G306" s="22"/>
      <c r="I306" s="22"/>
      <c r="K306" s="22"/>
      <c r="M306" s="22"/>
      <c r="O306" s="22"/>
      <c r="Q306" s="36"/>
      <c r="R306" s="22"/>
    </row>
    <row r="307" spans="3:18" s="1" customFormat="1" ht="16.5" customHeight="1" x14ac:dyDescent="0.25">
      <c r="C307" s="22"/>
      <c r="E307" s="22"/>
      <c r="G307" s="22"/>
      <c r="I307" s="22"/>
      <c r="K307" s="22"/>
      <c r="M307" s="22"/>
      <c r="O307" s="22"/>
      <c r="Q307" s="36"/>
      <c r="R307" s="22"/>
    </row>
    <row r="308" spans="3:18" s="1" customFormat="1" x14ac:dyDescent="0.25">
      <c r="C308" s="22"/>
      <c r="E308" s="22"/>
      <c r="G308" s="22"/>
      <c r="I308" s="22"/>
      <c r="K308" s="22"/>
      <c r="M308" s="22"/>
      <c r="O308" s="22"/>
      <c r="Q308" s="36"/>
      <c r="R308" s="22"/>
    </row>
    <row r="309" spans="3:18" s="1" customFormat="1" ht="16.5" customHeight="1" x14ac:dyDescent="0.25">
      <c r="C309" s="22"/>
      <c r="E309" s="22"/>
      <c r="G309" s="22"/>
      <c r="I309" s="22"/>
      <c r="K309" s="22"/>
      <c r="M309" s="22"/>
      <c r="O309" s="22"/>
      <c r="Q309" s="36"/>
      <c r="R309" s="22"/>
    </row>
    <row r="310" spans="3:18" s="1" customFormat="1" x14ac:dyDescent="0.25">
      <c r="C310" s="22"/>
      <c r="E310" s="22"/>
      <c r="G310" s="22"/>
      <c r="I310" s="22"/>
      <c r="K310" s="22"/>
      <c r="M310" s="22"/>
      <c r="O310" s="22"/>
      <c r="Q310" s="36"/>
      <c r="R310" s="22"/>
    </row>
    <row r="311" spans="3:18" s="1" customFormat="1" ht="53.25" customHeight="1" x14ac:dyDescent="0.25">
      <c r="C311" s="22"/>
      <c r="E311" s="22"/>
      <c r="G311" s="22"/>
      <c r="I311" s="22"/>
      <c r="K311" s="22"/>
      <c r="M311" s="22"/>
      <c r="O311" s="22"/>
      <c r="Q311" s="36"/>
      <c r="R311" s="22"/>
    </row>
    <row r="312" spans="3:18" s="1" customFormat="1" x14ac:dyDescent="0.25">
      <c r="C312" s="22"/>
      <c r="E312" s="22"/>
      <c r="G312" s="22"/>
      <c r="I312" s="22"/>
      <c r="K312" s="22"/>
      <c r="M312" s="22"/>
      <c r="O312" s="22"/>
      <c r="Q312" s="36"/>
      <c r="R312" s="22"/>
    </row>
    <row r="313" spans="3:18" s="1" customFormat="1" ht="16.5" customHeight="1" x14ac:dyDescent="0.25">
      <c r="C313" s="22"/>
      <c r="E313" s="22"/>
      <c r="G313" s="22"/>
      <c r="I313" s="22"/>
      <c r="K313" s="22"/>
      <c r="M313" s="22"/>
      <c r="O313" s="22"/>
      <c r="Q313" s="36"/>
      <c r="R313" s="22"/>
    </row>
    <row r="314" spans="3:18" s="1" customFormat="1" x14ac:dyDescent="0.25">
      <c r="C314" s="22"/>
      <c r="E314" s="22"/>
      <c r="G314" s="22"/>
      <c r="I314" s="22"/>
      <c r="K314" s="22"/>
      <c r="M314" s="22"/>
      <c r="O314" s="22"/>
      <c r="Q314" s="36"/>
      <c r="R314" s="22"/>
    </row>
    <row r="315" spans="3:18" s="1" customFormat="1" ht="16.5" customHeight="1" x14ac:dyDescent="0.25">
      <c r="C315" s="22"/>
      <c r="E315" s="22"/>
      <c r="G315" s="22"/>
      <c r="I315" s="22"/>
      <c r="K315" s="22"/>
      <c r="M315" s="22"/>
      <c r="O315" s="22"/>
      <c r="Q315" s="36"/>
      <c r="R315" s="22"/>
    </row>
    <row r="316" spans="3:18" s="1" customFormat="1" x14ac:dyDescent="0.25">
      <c r="C316" s="22"/>
      <c r="E316" s="22"/>
      <c r="G316" s="22"/>
      <c r="I316" s="22"/>
      <c r="K316" s="22"/>
      <c r="M316" s="22"/>
      <c r="O316" s="22"/>
      <c r="Q316" s="36"/>
      <c r="R316" s="22"/>
    </row>
    <row r="317" spans="3:18" s="1" customFormat="1" ht="16.5" customHeight="1" x14ac:dyDescent="0.25">
      <c r="C317" s="22"/>
      <c r="E317" s="22"/>
      <c r="G317" s="22"/>
      <c r="I317" s="22"/>
      <c r="K317" s="22"/>
      <c r="M317" s="22"/>
      <c r="O317" s="22"/>
      <c r="Q317" s="36"/>
      <c r="R317" s="22"/>
    </row>
    <row r="318" spans="3:18" s="1" customFormat="1" x14ac:dyDescent="0.25">
      <c r="C318" s="22"/>
      <c r="E318" s="22"/>
      <c r="G318" s="22"/>
      <c r="I318" s="22"/>
      <c r="K318" s="22"/>
      <c r="M318" s="22"/>
      <c r="O318" s="22"/>
      <c r="Q318" s="36"/>
      <c r="R318" s="22"/>
    </row>
    <row r="319" spans="3:18" s="1" customFormat="1" ht="37.5" customHeight="1" x14ac:dyDescent="0.25">
      <c r="C319" s="22"/>
      <c r="E319" s="22"/>
      <c r="G319" s="22"/>
      <c r="I319" s="22"/>
      <c r="K319" s="22"/>
      <c r="M319" s="22"/>
      <c r="O319" s="22"/>
      <c r="Q319" s="36"/>
      <c r="R319" s="22"/>
    </row>
    <row r="320" spans="3:18" s="1" customFormat="1" x14ac:dyDescent="0.25">
      <c r="C320" s="22"/>
      <c r="E320" s="22"/>
      <c r="G320" s="22"/>
      <c r="I320" s="22"/>
      <c r="K320" s="22"/>
      <c r="M320" s="22"/>
      <c r="O320" s="22"/>
      <c r="Q320" s="36"/>
      <c r="R320" s="22"/>
    </row>
    <row r="321" spans="3:22" s="1" customFormat="1" ht="24" customHeight="1" x14ac:dyDescent="0.25">
      <c r="C321" s="22"/>
      <c r="E321" s="22"/>
      <c r="G321" s="22"/>
      <c r="I321" s="22"/>
      <c r="K321" s="22"/>
      <c r="M321" s="22"/>
      <c r="O321" s="22"/>
      <c r="Q321" s="36"/>
      <c r="R321" s="22"/>
    </row>
    <row r="322" spans="3:22" s="1" customFormat="1" x14ac:dyDescent="0.25">
      <c r="C322" s="22"/>
      <c r="E322" s="22"/>
      <c r="G322" s="22"/>
      <c r="I322" s="22"/>
      <c r="K322" s="22"/>
      <c r="M322" s="22"/>
      <c r="O322" s="22"/>
      <c r="Q322" s="36"/>
      <c r="R322" s="22"/>
    </row>
    <row r="323" spans="3:22" s="1" customFormat="1" ht="16.5" customHeight="1" x14ac:dyDescent="0.25">
      <c r="C323" s="22"/>
      <c r="E323" s="22"/>
      <c r="G323" s="22"/>
      <c r="I323" s="22"/>
      <c r="K323" s="22"/>
      <c r="M323" s="22"/>
      <c r="O323" s="22"/>
      <c r="Q323" s="36"/>
      <c r="R323" s="22"/>
    </row>
    <row r="324" spans="3:22" s="1" customFormat="1" x14ac:dyDescent="0.25">
      <c r="C324" s="22"/>
      <c r="E324" s="22"/>
      <c r="G324" s="22"/>
      <c r="I324" s="22"/>
      <c r="K324" s="22"/>
      <c r="M324" s="22"/>
      <c r="O324" s="22"/>
      <c r="Q324" s="36"/>
      <c r="R324" s="22"/>
    </row>
    <row r="325" spans="3:22" s="1" customFormat="1" ht="24" customHeight="1" x14ac:dyDescent="0.25">
      <c r="C325" s="22"/>
      <c r="E325" s="22"/>
      <c r="G325" s="22"/>
      <c r="I325" s="22"/>
      <c r="K325" s="22"/>
      <c r="M325" s="22"/>
      <c r="O325" s="22"/>
      <c r="Q325" s="36"/>
      <c r="R325" s="22"/>
    </row>
    <row r="326" spans="3:22" s="1" customFormat="1" x14ac:dyDescent="0.25">
      <c r="C326" s="22"/>
      <c r="E326" s="22"/>
      <c r="G326" s="22"/>
      <c r="I326" s="22"/>
      <c r="K326" s="22"/>
      <c r="M326" s="22"/>
      <c r="O326" s="22"/>
      <c r="Q326" s="36"/>
      <c r="R326" s="22"/>
    </row>
    <row r="327" spans="3:22" s="1" customFormat="1" ht="16.5" customHeight="1" x14ac:dyDescent="0.25">
      <c r="C327" s="22"/>
      <c r="E327" s="22"/>
      <c r="G327" s="22"/>
      <c r="I327" s="22"/>
      <c r="K327" s="22"/>
      <c r="M327" s="22"/>
      <c r="O327" s="22"/>
      <c r="Q327" s="36"/>
      <c r="R327" s="22"/>
    </row>
    <row r="328" spans="3:22" s="1" customFormat="1" x14ac:dyDescent="0.25">
      <c r="C328" s="22"/>
      <c r="E328" s="22"/>
      <c r="G328" s="22"/>
      <c r="I328" s="22"/>
      <c r="K328" s="22"/>
      <c r="M328" s="22"/>
      <c r="O328" s="22"/>
      <c r="Q328" s="36"/>
      <c r="R328" s="22"/>
    </row>
    <row r="329" spans="3:22" s="1" customFormat="1" ht="41.25" customHeight="1" x14ac:dyDescent="0.25">
      <c r="C329" s="22"/>
      <c r="E329" s="22"/>
      <c r="G329" s="22"/>
      <c r="I329" s="22"/>
      <c r="K329" s="22"/>
      <c r="M329" s="22"/>
      <c r="O329" s="22"/>
      <c r="Q329" s="36"/>
      <c r="R329" s="22"/>
    </row>
    <row r="330" spans="3:22" s="1" customFormat="1" x14ac:dyDescent="0.25">
      <c r="C330" s="22"/>
      <c r="E330" s="22"/>
      <c r="G330" s="22"/>
      <c r="I330" s="22"/>
      <c r="K330" s="22"/>
      <c r="M330" s="22"/>
      <c r="O330" s="22"/>
      <c r="Q330" s="36"/>
      <c r="R330" s="22"/>
    </row>
    <row r="331" spans="3:22" s="1" customFormat="1" ht="51.75" customHeight="1" x14ac:dyDescent="0.25">
      <c r="C331" s="22"/>
      <c r="E331" s="22"/>
      <c r="G331" s="22"/>
      <c r="I331" s="22"/>
      <c r="K331" s="22"/>
      <c r="M331" s="22"/>
      <c r="O331" s="22"/>
      <c r="Q331" s="22"/>
      <c r="R331" s="22"/>
    </row>
    <row r="332" spans="3:22" s="1" customFormat="1" x14ac:dyDescent="0.25">
      <c r="C332" s="22"/>
      <c r="E332" s="22"/>
      <c r="G332" s="22"/>
      <c r="I332" s="22"/>
      <c r="K332" s="22"/>
      <c r="M332" s="22"/>
      <c r="O332" s="22"/>
      <c r="Q332" s="22"/>
      <c r="R332" s="22"/>
    </row>
    <row r="333" spans="3:22" s="1" customFormat="1" ht="23.25" customHeight="1" x14ac:dyDescent="0.25">
      <c r="C333" s="22"/>
      <c r="E333" s="22"/>
      <c r="G333" s="22"/>
      <c r="I333" s="22"/>
      <c r="K333" s="22"/>
      <c r="M333" s="22"/>
      <c r="O333" s="22"/>
      <c r="Q333" s="22"/>
      <c r="R333" s="22"/>
    </row>
    <row r="334" spans="3:22" s="1" customFormat="1" x14ac:dyDescent="0.25">
      <c r="C334" s="22"/>
      <c r="E334" s="22"/>
      <c r="G334" s="22"/>
      <c r="I334" s="22"/>
      <c r="K334" s="22"/>
      <c r="M334" s="22"/>
      <c r="O334" s="22"/>
      <c r="Q334" s="22"/>
      <c r="R334" s="22"/>
    </row>
    <row r="335" spans="3:22" s="1" customFormat="1" ht="16.5" customHeight="1" x14ac:dyDescent="0.25">
      <c r="C335" s="22"/>
      <c r="E335" s="22"/>
      <c r="G335" s="22"/>
      <c r="I335" s="22"/>
      <c r="K335" s="22"/>
      <c r="M335" s="22"/>
      <c r="O335" s="22"/>
      <c r="Q335" s="22"/>
      <c r="R335" s="22"/>
      <c r="S335"/>
      <c r="T335"/>
      <c r="U335"/>
      <c r="V335"/>
    </row>
    <row r="336" spans="3:22" s="1" customFormat="1" x14ac:dyDescent="0.25">
      <c r="C336" s="22"/>
      <c r="E336" s="22"/>
      <c r="G336" s="22"/>
      <c r="I336" s="22"/>
      <c r="K336" s="22"/>
      <c r="M336" s="22"/>
      <c r="O336" s="22"/>
      <c r="Q336" s="22"/>
      <c r="R336" s="22"/>
      <c r="S336"/>
      <c r="T336"/>
      <c r="U336"/>
      <c r="V336"/>
    </row>
    <row r="337" spans="1:30" s="1" customFormat="1" ht="58.5" customHeight="1" x14ac:dyDescent="0.25">
      <c r="C337" s="22"/>
      <c r="E337" s="22"/>
      <c r="G337" s="22"/>
      <c r="I337" s="22"/>
      <c r="K337" s="22"/>
      <c r="M337" s="22"/>
      <c r="O337" s="22"/>
      <c r="Q337" s="22"/>
      <c r="R337" s="22"/>
      <c r="S337"/>
      <c r="T337"/>
      <c r="U337"/>
      <c r="V337"/>
    </row>
    <row r="338" spans="1:30" s="1" customFormat="1" x14ac:dyDescent="0.25">
      <c r="C338" s="22"/>
      <c r="E338" s="22"/>
      <c r="G338" s="22"/>
      <c r="I338" s="22"/>
      <c r="K338" s="22"/>
      <c r="M338" s="22"/>
      <c r="O338" s="22"/>
      <c r="Q338" s="22"/>
      <c r="R338" s="22"/>
      <c r="S338"/>
      <c r="T338"/>
      <c r="U338"/>
      <c r="V338"/>
    </row>
    <row r="339" spans="1:30" s="1" customFormat="1" ht="22.5" customHeight="1" x14ac:dyDescent="0.25">
      <c r="C339" s="22"/>
      <c r="E339" s="22"/>
      <c r="G339" s="22"/>
      <c r="I339" s="22"/>
      <c r="K339" s="22"/>
      <c r="M339" s="22"/>
      <c r="O339" s="22"/>
      <c r="Q339" s="22"/>
      <c r="R339" s="22"/>
      <c r="S339"/>
      <c r="T339"/>
      <c r="U339"/>
      <c r="V339"/>
    </row>
    <row r="340" spans="1:30" s="1" customFormat="1" x14ac:dyDescent="0.25">
      <c r="A340"/>
      <c r="C340" s="22"/>
      <c r="E340" s="22"/>
      <c r="G340" s="22"/>
      <c r="I340" s="22"/>
      <c r="K340" s="22"/>
      <c r="M340" s="22"/>
      <c r="O340" s="22"/>
      <c r="Q340" s="22"/>
      <c r="R340" s="22"/>
      <c r="S340"/>
      <c r="T340"/>
      <c r="U340"/>
      <c r="V340"/>
    </row>
    <row r="341" spans="1:30" s="1" customFormat="1" ht="25.5" customHeight="1" x14ac:dyDescent="0.3">
      <c r="A341"/>
      <c r="C341" s="22"/>
      <c r="E341" s="22"/>
      <c r="F341"/>
      <c r="G341" s="24"/>
      <c r="H341"/>
      <c r="I341" s="24"/>
      <c r="J341"/>
      <c r="K341" s="24"/>
      <c r="L341"/>
      <c r="M341" s="24"/>
      <c r="N341"/>
      <c r="O341" s="24"/>
      <c r="P341"/>
      <c r="Q341" s="24"/>
      <c r="R341" s="24"/>
      <c r="S341"/>
      <c r="T341"/>
      <c r="U341"/>
      <c r="V341"/>
    </row>
    <row r="342" spans="1:30" s="1" customFormat="1" x14ac:dyDescent="0.3">
      <c r="A342"/>
      <c r="B342"/>
      <c r="C342" s="24"/>
      <c r="D342"/>
      <c r="E342" s="24"/>
      <c r="F342"/>
      <c r="G342" s="24"/>
      <c r="H342"/>
      <c r="I342" s="24"/>
      <c r="J342"/>
      <c r="K342" s="24"/>
      <c r="L342"/>
      <c r="M342" s="24"/>
      <c r="N342"/>
      <c r="O342" s="24"/>
      <c r="P342"/>
      <c r="Q342" s="24"/>
      <c r="R342" s="24"/>
      <c r="S342"/>
      <c r="T342"/>
      <c r="U342"/>
      <c r="V342"/>
    </row>
    <row r="343" spans="1:30" ht="23.25" customHeight="1" x14ac:dyDescent="0.3">
      <c r="W343" s="1"/>
      <c r="X343" s="1"/>
      <c r="Y343" s="1"/>
      <c r="Z343" s="1"/>
      <c r="AA343" s="1"/>
      <c r="AB343" s="1"/>
      <c r="AC343" s="1"/>
      <c r="AD343" s="1"/>
    </row>
    <row r="344" spans="1:30" x14ac:dyDescent="0.3">
      <c r="W344" s="1"/>
      <c r="X344" s="1"/>
      <c r="Y344" s="1"/>
      <c r="Z344" s="1"/>
      <c r="AA344" s="1"/>
      <c r="AB344" s="1"/>
      <c r="AC344" s="1"/>
      <c r="AD344" s="1"/>
    </row>
    <row r="345" spans="1:30" x14ac:dyDescent="0.3">
      <c r="W345" s="1"/>
      <c r="X345" s="1"/>
      <c r="Y345" s="1"/>
      <c r="Z345" s="1"/>
      <c r="AA345" s="1"/>
      <c r="AB345" s="1"/>
      <c r="AC345" s="1"/>
      <c r="AD345" s="1"/>
    </row>
    <row r="346" spans="1:30" x14ac:dyDescent="0.3">
      <c r="W346" s="1"/>
      <c r="X346" s="1"/>
      <c r="Y346" s="1"/>
      <c r="Z346" s="1"/>
      <c r="AA346" s="1"/>
      <c r="AB346" s="1"/>
      <c r="AC346" s="1"/>
      <c r="AD346" s="1"/>
    </row>
    <row r="347" spans="1:30" ht="47.25" customHeight="1" x14ac:dyDescent="0.3">
      <c r="W347" s="1"/>
      <c r="X347" s="1"/>
      <c r="Y347" s="1"/>
      <c r="Z347" s="1"/>
      <c r="AA347" s="1"/>
      <c r="AB347" s="1"/>
      <c r="AC347" s="1"/>
      <c r="AD347" s="1"/>
    </row>
    <row r="348" spans="1:30" x14ac:dyDescent="0.3">
      <c r="W348" s="1"/>
      <c r="X348" s="1"/>
      <c r="Y348" s="1"/>
      <c r="Z348" s="1"/>
      <c r="AA348" s="1"/>
      <c r="AB348" s="1"/>
      <c r="AC348" s="1"/>
      <c r="AD348" s="1"/>
    </row>
    <row r="349" spans="1:30" x14ac:dyDescent="0.3">
      <c r="W349" s="1"/>
      <c r="X349" s="1"/>
      <c r="Y349" s="1"/>
      <c r="Z349" s="1"/>
      <c r="AA349" s="1"/>
      <c r="AB349" s="1"/>
      <c r="AC349" s="1"/>
      <c r="AD349" s="1"/>
    </row>
    <row r="350" spans="1:30" x14ac:dyDescent="0.3">
      <c r="W350" s="1"/>
      <c r="X350" s="1"/>
      <c r="Y350" s="1"/>
      <c r="Z350" s="1"/>
      <c r="AA350" s="1"/>
      <c r="AB350" s="1"/>
      <c r="AC350" s="1"/>
      <c r="AD350" s="1"/>
    </row>
    <row r="351" spans="1:30" ht="44.25" customHeight="1" x14ac:dyDescent="0.3">
      <c r="W351" s="1"/>
      <c r="X351" s="1"/>
      <c r="Y351" s="1"/>
      <c r="Z351" s="1"/>
      <c r="AA351" s="1"/>
      <c r="AB351" s="1"/>
      <c r="AC351" s="1"/>
      <c r="AD351" s="1"/>
    </row>
    <row r="352" spans="1:30" x14ac:dyDescent="0.3">
      <c r="W352" s="1"/>
      <c r="X352" s="1"/>
      <c r="Y352" s="1"/>
      <c r="Z352" s="1"/>
      <c r="AA352" s="1"/>
      <c r="AB352" s="1"/>
      <c r="AC352" s="1"/>
      <c r="AD352" s="1"/>
    </row>
    <row r="353" spans="23:30" x14ac:dyDescent="0.3">
      <c r="W353" s="1"/>
      <c r="X353" s="1"/>
      <c r="Y353" s="1"/>
      <c r="Z353" s="1"/>
      <c r="AA353" s="1"/>
      <c r="AB353" s="1"/>
      <c r="AC353" s="1"/>
      <c r="AD353" s="1"/>
    </row>
    <row r="354" spans="23:30" ht="19.5" customHeight="1" x14ac:dyDescent="0.3">
      <c r="W354" s="1"/>
      <c r="X354" s="1"/>
      <c r="Y354" s="1"/>
      <c r="Z354" s="1"/>
      <c r="AA354" s="1"/>
      <c r="AB354" s="1"/>
      <c r="AC354" s="1"/>
      <c r="AD354" s="1"/>
    </row>
    <row r="355" spans="23:30" ht="57" customHeight="1" x14ac:dyDescent="0.3">
      <c r="W355" s="1"/>
      <c r="X355" s="1"/>
      <c r="Y355" s="1"/>
      <c r="Z355" s="1"/>
      <c r="AA355" s="1"/>
      <c r="AB355" s="1"/>
      <c r="AC355" s="1"/>
      <c r="AD355" s="1"/>
    </row>
    <row r="356" spans="23:30" x14ac:dyDescent="0.3">
      <c r="W356" s="1"/>
      <c r="X356" s="1"/>
      <c r="Y356" s="1"/>
      <c r="Z356" s="1"/>
      <c r="AA356" s="1"/>
      <c r="AB356" s="1"/>
      <c r="AC356" s="1"/>
      <c r="AD356" s="1"/>
    </row>
    <row r="357" spans="23:30" x14ac:dyDescent="0.3">
      <c r="W357" s="1"/>
      <c r="X357" s="1"/>
      <c r="Y357" s="1"/>
      <c r="Z357" s="1"/>
      <c r="AA357" s="1"/>
      <c r="AB357" s="1"/>
      <c r="AC357" s="1"/>
      <c r="AD357" s="1"/>
    </row>
    <row r="358" spans="23:30" x14ac:dyDescent="0.3">
      <c r="W358" s="1"/>
      <c r="X358" s="1"/>
      <c r="Y358" s="1"/>
      <c r="Z358" s="1"/>
      <c r="AA358" s="1"/>
      <c r="AB358" s="1"/>
      <c r="AC358" s="1"/>
      <c r="AD358" s="1"/>
    </row>
    <row r="359" spans="23:30" ht="45.75" customHeight="1" x14ac:dyDescent="0.3">
      <c r="W359" s="1"/>
      <c r="X359" s="1"/>
      <c r="Y359" s="1"/>
      <c r="Z359" s="1"/>
      <c r="AA359" s="1"/>
    </row>
    <row r="360" spans="23:30" x14ac:dyDescent="0.3">
      <c r="W360" s="1"/>
      <c r="X360" s="1"/>
      <c r="Y360" s="1"/>
      <c r="Z360" s="1"/>
      <c r="AA360" s="1"/>
    </row>
    <row r="361" spans="23:30" ht="16.5" customHeight="1" x14ac:dyDescent="0.3">
      <c r="W361" s="1"/>
      <c r="X361" s="1"/>
      <c r="Y361" s="1"/>
      <c r="Z361" s="1"/>
      <c r="AA361" s="1"/>
    </row>
    <row r="362" spans="23:30" x14ac:dyDescent="0.3">
      <c r="W362" s="1"/>
      <c r="X362" s="1"/>
      <c r="Y362" s="1"/>
      <c r="Z362" s="1"/>
      <c r="AA362" s="1"/>
    </row>
    <row r="363" spans="23:30" ht="33.75" customHeight="1" x14ac:dyDescent="0.3">
      <c r="W363" s="1"/>
      <c r="X363" s="1"/>
      <c r="Y363" s="1"/>
      <c r="Z363" s="1"/>
      <c r="AA363" s="1"/>
    </row>
    <row r="364" spans="23:30" x14ac:dyDescent="0.3">
      <c r="W364" s="1"/>
      <c r="X364" s="1"/>
      <c r="Y364" s="1"/>
      <c r="Z364" s="1"/>
      <c r="AA364" s="1"/>
    </row>
    <row r="365" spans="23:30" ht="53.25" customHeight="1" x14ac:dyDescent="0.3">
      <c r="W365" s="1"/>
      <c r="X365" s="1"/>
      <c r="Y365" s="1"/>
      <c r="Z365" s="1"/>
      <c r="AA365" s="1"/>
    </row>
    <row r="366" spans="23:30" x14ac:dyDescent="0.3">
      <c r="W366" s="1"/>
      <c r="X366" s="1"/>
      <c r="Y366" s="1"/>
      <c r="Z366" s="1"/>
      <c r="AA366" s="1"/>
    </row>
    <row r="367" spans="23:30" ht="16.5" customHeight="1" x14ac:dyDescent="0.3">
      <c r="W367" s="1"/>
      <c r="X367" s="1"/>
      <c r="Y367" s="1"/>
      <c r="Z367" s="1"/>
      <c r="AA367" s="1"/>
    </row>
    <row r="368" spans="23:30" x14ac:dyDescent="0.3">
      <c r="W368" s="1"/>
      <c r="X368" s="1"/>
      <c r="Y368" s="1"/>
      <c r="Z368" s="1"/>
      <c r="AA368" s="1"/>
    </row>
    <row r="369" spans="23:27" ht="22.5" customHeight="1" x14ac:dyDescent="0.3">
      <c r="W369" s="1"/>
      <c r="X369" s="1"/>
      <c r="Y369" s="1"/>
      <c r="Z369" s="1"/>
      <c r="AA369" s="1"/>
    </row>
    <row r="370" spans="23:27" x14ac:dyDescent="0.3">
      <c r="W370" s="1"/>
      <c r="X370" s="1"/>
      <c r="Y370" s="1"/>
      <c r="Z370" s="1"/>
      <c r="AA370" s="1"/>
    </row>
    <row r="371" spans="23:27" ht="34.5" customHeight="1" x14ac:dyDescent="0.3">
      <c r="W371" s="1"/>
      <c r="X371" s="1"/>
      <c r="Y371" s="1"/>
      <c r="Z371" s="1"/>
      <c r="AA371" s="1"/>
    </row>
    <row r="372" spans="23:27" x14ac:dyDescent="0.3">
      <c r="W372" s="1"/>
      <c r="X372" s="1"/>
      <c r="Y372" s="1"/>
      <c r="Z372" s="1"/>
      <c r="AA372" s="1"/>
    </row>
    <row r="373" spans="23:27" ht="48" customHeight="1" x14ac:dyDescent="0.3">
      <c r="W373" s="1"/>
      <c r="X373" s="1"/>
      <c r="Y373" s="1"/>
      <c r="Z373" s="1"/>
      <c r="AA373" s="1"/>
    </row>
    <row r="374" spans="23:27" x14ac:dyDescent="0.3">
      <c r="W374" s="1"/>
      <c r="X374" s="1"/>
      <c r="Y374" s="1"/>
      <c r="Z374" s="1"/>
      <c r="AA374" s="1"/>
    </row>
    <row r="375" spans="23:27" ht="24" customHeight="1" x14ac:dyDescent="0.3">
      <c r="W375" s="1"/>
      <c r="X375" s="1"/>
      <c r="Y375" s="1"/>
      <c r="Z375" s="1"/>
      <c r="AA375" s="1"/>
    </row>
    <row r="376" spans="23:27" x14ac:dyDescent="0.3">
      <c r="W376" s="1"/>
      <c r="X376" s="1"/>
      <c r="Y376" s="1"/>
      <c r="Z376" s="1"/>
      <c r="AA376" s="1"/>
    </row>
    <row r="377" spans="23:27" ht="52.5" customHeight="1" x14ac:dyDescent="0.3">
      <c r="W377" s="1"/>
      <c r="X377" s="1"/>
      <c r="Y377" s="1"/>
      <c r="Z377" s="1"/>
      <c r="AA377" s="1"/>
    </row>
    <row r="378" spans="23:27" x14ac:dyDescent="0.3">
      <c r="W378" s="1"/>
      <c r="X378" s="1"/>
      <c r="Y378" s="1"/>
      <c r="Z378" s="1"/>
      <c r="AA378" s="1"/>
    </row>
    <row r="379" spans="23:27" ht="25.5" customHeight="1" x14ac:dyDescent="0.3">
      <c r="W379" s="1"/>
      <c r="X379" s="1"/>
      <c r="Y379" s="1"/>
      <c r="Z379" s="1"/>
      <c r="AA379" s="1"/>
    </row>
    <row r="380" spans="23:27" x14ac:dyDescent="0.3">
      <c r="W380" s="1"/>
      <c r="X380" s="1"/>
      <c r="Y380" s="1"/>
      <c r="Z380" s="1"/>
      <c r="AA380" s="1"/>
    </row>
    <row r="381" spans="23:27" ht="24.75" customHeight="1" x14ac:dyDescent="0.3">
      <c r="W381" s="1"/>
      <c r="X381" s="1"/>
      <c r="Y381" s="1"/>
      <c r="Z381" s="1"/>
      <c r="AA381" s="1"/>
    </row>
    <row r="382" spans="23:27" x14ac:dyDescent="0.3">
      <c r="W382" s="1"/>
      <c r="X382" s="1"/>
      <c r="Y382" s="1"/>
      <c r="Z382" s="1"/>
      <c r="AA382" s="1"/>
    </row>
    <row r="383" spans="23:27" ht="16.5" customHeight="1" x14ac:dyDescent="0.3">
      <c r="W383" s="1"/>
      <c r="X383" s="1"/>
      <c r="Y383" s="1"/>
      <c r="Z383" s="1"/>
      <c r="AA383" s="1"/>
    </row>
    <row r="384" spans="23:27" x14ac:dyDescent="0.3">
      <c r="W384" s="1"/>
      <c r="X384" s="1"/>
      <c r="Y384" s="1"/>
      <c r="Z384" s="1"/>
      <c r="AA384" s="1"/>
    </row>
    <row r="385" spans="23:27" ht="16.5" customHeight="1" x14ac:dyDescent="0.3">
      <c r="W385" s="1"/>
      <c r="X385" s="1"/>
      <c r="Y385" s="1"/>
      <c r="Z385" s="1"/>
      <c r="AA385" s="1"/>
    </row>
    <row r="386" spans="23:27" x14ac:dyDescent="0.3">
      <c r="W386" s="1"/>
      <c r="X386" s="1"/>
      <c r="Y386" s="1"/>
      <c r="Z386" s="1"/>
      <c r="AA386" s="1"/>
    </row>
    <row r="387" spans="23:27" ht="37.5" customHeight="1" x14ac:dyDescent="0.3">
      <c r="W387" s="1"/>
      <c r="X387" s="1"/>
      <c r="Y387" s="1"/>
      <c r="Z387" s="1"/>
      <c r="AA387" s="1"/>
    </row>
    <row r="388" spans="23:27" x14ac:dyDescent="0.3">
      <c r="W388" s="1"/>
      <c r="X388" s="1"/>
      <c r="Y388" s="1"/>
      <c r="Z388" s="1"/>
      <c r="AA388" s="1"/>
    </row>
    <row r="389" spans="23:27" ht="16.5" customHeight="1" x14ac:dyDescent="0.3">
      <c r="W389" s="1"/>
      <c r="X389" s="1"/>
      <c r="Y389" s="1"/>
      <c r="Z389" s="1"/>
      <c r="AA389" s="1"/>
    </row>
    <row r="390" spans="23:27" x14ac:dyDescent="0.3">
      <c r="W390" s="1"/>
      <c r="X390" s="1"/>
      <c r="Y390" s="1"/>
      <c r="Z390" s="1"/>
      <c r="AA390" s="1"/>
    </row>
    <row r="391" spans="23:27" ht="16.5" customHeight="1" x14ac:dyDescent="0.3">
      <c r="W391" s="1"/>
      <c r="X391" s="1"/>
      <c r="Y391" s="1"/>
      <c r="Z391" s="1"/>
      <c r="AA391" s="1"/>
    </row>
    <row r="392" spans="23:27" x14ac:dyDescent="0.3">
      <c r="W392" s="1"/>
      <c r="X392" s="1"/>
      <c r="Y392" s="1"/>
      <c r="Z392" s="1"/>
      <c r="AA392" s="1"/>
    </row>
    <row r="393" spans="23:27" ht="16.5" customHeight="1" x14ac:dyDescent="0.3">
      <c r="W393" s="1"/>
      <c r="X393" s="1"/>
      <c r="Y393" s="1"/>
      <c r="Z393" s="1"/>
      <c r="AA393" s="1"/>
    </row>
    <row r="394" spans="23:27" x14ac:dyDescent="0.3">
      <c r="W394" s="1"/>
      <c r="X394" s="1"/>
      <c r="Y394" s="1"/>
      <c r="Z394" s="1"/>
      <c r="AA394" s="1"/>
    </row>
    <row r="395" spans="23:27" x14ac:dyDescent="0.3">
      <c r="W395" s="1"/>
      <c r="X395" s="1"/>
      <c r="Y395" s="1"/>
      <c r="Z395" s="1"/>
      <c r="AA395" s="1"/>
    </row>
    <row r="396" spans="23:27" x14ac:dyDescent="0.3">
      <c r="W396" s="1"/>
      <c r="X396" s="1"/>
      <c r="Y396" s="1"/>
      <c r="Z396" s="1"/>
      <c r="AA396" s="1"/>
    </row>
    <row r="397" spans="23:27" x14ac:dyDescent="0.3">
      <c r="W397" s="1"/>
      <c r="X397" s="1"/>
      <c r="Y397" s="1"/>
      <c r="Z397" s="1"/>
      <c r="AA397" s="1"/>
    </row>
    <row r="398" spans="23:27" x14ac:dyDescent="0.3">
      <c r="W398" s="1"/>
      <c r="X398" s="1"/>
      <c r="Y398" s="1"/>
      <c r="Z398" s="1"/>
      <c r="AA398" s="1"/>
    </row>
    <row r="399" spans="23:27" x14ac:dyDescent="0.3">
      <c r="W399" s="1"/>
      <c r="X399" s="1"/>
      <c r="Y399" s="1"/>
      <c r="Z399" s="1"/>
      <c r="AA399" s="1"/>
    </row>
    <row r="400" spans="23:27" x14ac:dyDescent="0.3">
      <c r="W400" s="1"/>
      <c r="X400" s="1"/>
      <c r="Y400" s="1"/>
      <c r="Z400" s="1"/>
      <c r="AA400" s="1"/>
    </row>
    <row r="401" spans="23:27" x14ac:dyDescent="0.3">
      <c r="W401" s="1"/>
      <c r="X401" s="1"/>
      <c r="Y401" s="1"/>
      <c r="Z401" s="1"/>
      <c r="AA401" s="1"/>
    </row>
    <row r="402" spans="23:27" x14ac:dyDescent="0.3">
      <c r="W402" s="1"/>
      <c r="X402" s="1"/>
      <c r="Y402" s="1"/>
      <c r="Z402" s="1"/>
      <c r="AA402" s="1"/>
    </row>
    <row r="403" spans="23:27" x14ac:dyDescent="0.3">
      <c r="W403" s="1"/>
      <c r="X403" s="1"/>
      <c r="Y403" s="1"/>
      <c r="Z403" s="1"/>
    </row>
    <row r="404" spans="23:27" x14ac:dyDescent="0.3">
      <c r="W404" s="1"/>
      <c r="X404" s="1"/>
      <c r="Y404" s="1"/>
      <c r="Z404" s="1"/>
    </row>
    <row r="405" spans="23:27" x14ac:dyDescent="0.3">
      <c r="W405" s="1"/>
      <c r="X405" s="1"/>
      <c r="Y405" s="1"/>
      <c r="Z405" s="1"/>
    </row>
    <row r="406" spans="23:27" x14ac:dyDescent="0.3">
      <c r="W406" s="1"/>
      <c r="X406" s="1"/>
      <c r="Y406" s="1"/>
      <c r="Z406" s="1"/>
    </row>
    <row r="407" spans="23:27" x14ac:dyDescent="0.3">
      <c r="W407" s="1"/>
      <c r="X407" s="1"/>
      <c r="Y407" s="1"/>
      <c r="Z407" s="1"/>
    </row>
    <row r="408" spans="23:27" x14ac:dyDescent="0.3">
      <c r="W408" s="1"/>
      <c r="X408" s="1"/>
      <c r="Y408" s="1"/>
      <c r="Z408" s="1"/>
    </row>
    <row r="409" spans="23:27" x14ac:dyDescent="0.3">
      <c r="W409" s="1"/>
      <c r="X409" s="1"/>
      <c r="Y409" s="1"/>
      <c r="Z409" s="1"/>
    </row>
    <row r="410" spans="23:27" x14ac:dyDescent="0.3">
      <c r="W410" s="1"/>
      <c r="X410" s="1"/>
      <c r="Y410" s="1"/>
      <c r="Z410" s="1"/>
    </row>
    <row r="411" spans="23:27" x14ac:dyDescent="0.3">
      <c r="W411" s="1"/>
      <c r="X411" s="1"/>
      <c r="Y411" s="1"/>
      <c r="Z411" s="1"/>
    </row>
    <row r="412" spans="23:27" x14ac:dyDescent="0.3">
      <c r="W412" s="1"/>
      <c r="X412" s="1"/>
      <c r="Y412" s="1"/>
      <c r="Z412" s="1"/>
    </row>
    <row r="413" spans="23:27" x14ac:dyDescent="0.3">
      <c r="W413" s="1"/>
      <c r="X413" s="1"/>
      <c r="Y413" s="1"/>
      <c r="Z413" s="1"/>
    </row>
    <row r="414" spans="23:27" x14ac:dyDescent="0.3">
      <c r="W414" s="1"/>
      <c r="X414" s="1"/>
      <c r="Y414" s="1"/>
      <c r="Z414" s="1"/>
    </row>
    <row r="415" spans="23:27" x14ac:dyDescent="0.3">
      <c r="X415" s="1"/>
    </row>
  </sheetData>
  <mergeCells count="24">
    <mergeCell ref="L11:M11"/>
    <mergeCell ref="N11:O11"/>
    <mergeCell ref="P11:Q11"/>
    <mergeCell ref="R11:S11"/>
    <mergeCell ref="B10:T10"/>
    <mergeCell ref="B11:C11"/>
    <mergeCell ref="D11:E11"/>
    <mergeCell ref="F11:G11"/>
    <mergeCell ref="H11:I11"/>
    <mergeCell ref="J11:K11"/>
    <mergeCell ref="B17:C18"/>
    <mergeCell ref="D17:E18"/>
    <mergeCell ref="F17:G18"/>
    <mergeCell ref="H17:I18"/>
    <mergeCell ref="J17:K18"/>
    <mergeCell ref="V17:V18"/>
    <mergeCell ref="W17:W18"/>
    <mergeCell ref="X17:X18"/>
    <mergeCell ref="Y17:Y18"/>
    <mergeCell ref="L17:M18"/>
    <mergeCell ref="N17:O18"/>
    <mergeCell ref="P17:Q18"/>
    <mergeCell ref="R17:S18"/>
    <mergeCell ref="T17:U18"/>
  </mergeCells>
  <printOptions horizontalCentered="1" verticalCentered="1"/>
  <pageMargins left="0.74803149606299213" right="0.15748031496062992" top="0.34" bottom="0.39370078740157483" header="0.43" footer="0.51181102362204722"/>
  <pageSetup paperSize="9" scale="85" orientation="portrait" verticalDpi="4294967293" r:id="rId1"/>
  <headerFooter alignWithMargins="0"/>
  <ignoredErrors>
    <ignoredError sqref="T19 T228 T213:T214 T196 T108 T38 T278:T279 T273 T226 T218 T216 T210 T198 T176 T118:T124 T112:T113 T87 T63 T47:T53 T40:T42 T36 T276 T256:T258 T223 T208 T204 T202 T190 T182 T173 T170 T163:T164 T155 T134:T136 T115:T116 T110 T99 T92 T75:T76 T67:T69 T45 T28:T31 T296:T298 T293:T294 T286:T287 T270:T271 T261:T262 T252:T254 T250 T240:T245 T188 T178:T179 T152:T153 T85 T71 T34 T290 T267 T247 T235:T237 T149 T144:T145 T138:T139 T129:T130 T106 T231:T233 T23:T26 T20:T22 T27 T234 T107 T131:T133 T140:T143 T146:T148 T150:T151 T238:T239 T248:T249 T268:T269 T291:T292 T35 T72:T74 T86 T154 T180:T181 T189 T246 T251 T255 T263:T266 T272 T288:T289 T295 T299 T32:T33 T46 T70 T77:T84 T93:T98 T100:T105 T111 T117 T137 T156:T157 T159:T160 T165:T169 T171:T172 T174:T175 T183:T187 T191:T195 T203 T205:T207 T209 T224:T225 T259:T260 T277 T37 T43:T44 T54:T62 T64:T66 T88:T91 T114 T125:T128 T177 T199:T201 T211:T212 T217 T219:T222 T227 T274:T275 T281:T285 T39 T109 T197 T215 T230 T162" numberStoredAsText="1"/>
  </ignoredError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LISTA</vt:lpstr>
      <vt:lpstr>LISTA!Print_Area</vt:lpstr>
      <vt:lpstr>LISTA!Print_Titles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zoran</dc:creator>
  <cp:lastModifiedBy>User</cp:lastModifiedBy>
  <cp:lastPrinted>2008-01-15T00:24:14Z</cp:lastPrinted>
  <dcterms:created xsi:type="dcterms:W3CDTF">2007-12-12T01:44:54Z</dcterms:created>
  <dcterms:modified xsi:type="dcterms:W3CDTF">2018-08-05T22:39:04Z</dcterms:modified>
</cp:coreProperties>
</file>